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omments2.xml" ContentType="application/vnd.openxmlformats-officedocument.spreadsheetml.comments+xml"/>
  <Override PartName="/xl/tables/table6.xml" ContentType="application/vnd.openxmlformats-officedocument.spreadsheetml.table+xml"/>
  <Override PartName="/xl/comments3.xml" ContentType="application/vnd.openxmlformats-officedocument.spreadsheetml.comments+xml"/>
  <Override PartName="/xl/tables/table7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ommentsmeta0" ContentType="application/binary"/>
  <Override PartName="/xl/commentsmeta1" ContentType="application/binary"/>
  <Override PartName="/xl/commentsmeta2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330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G:\Unidades compartidas\RPA\RPA - P329 RoloMacro\P329RoloMacro\MD\"/>
    </mc:Choice>
  </mc:AlternateContent>
  <xr:revisionPtr revIDLastSave="0" documentId="13_ncr:1_{531E96C4-A60E-4939-BE8D-3CA61C5CD39C}" xr6:coauthVersionLast="47" xr6:coauthVersionMax="47" xr10:uidLastSave="{00000000-0000-0000-0000-000000000000}"/>
  <bookViews>
    <workbookView xWindow="-120" yWindow="-120" windowWidth="29040" windowHeight="14505" tabRatio="749" activeTab="3" xr2:uid="{00000000-000D-0000-FFFF-FFFF00000000}"/>
  </bookViews>
  <sheets>
    <sheet name="Operadores" sheetId="1" r:id="rId1"/>
    <sheet name="Materialidades" sheetId="2" r:id="rId2"/>
    <sheet name="Monedas" sheetId="3" r:id="rId3"/>
    <sheet name="Asientos" sheetId="4" r:id="rId4"/>
    <sheet name="Maestro conceptos" sheetId="5" r:id="rId5"/>
    <sheet name="Rutas" sheetId="6" r:id="rId6"/>
    <sheet name="Listas" sheetId="7" state="hidden" r:id="rId7"/>
    <sheet name="Template Archivos" sheetId="8" r:id="rId8"/>
    <sheet name="Excepciones" sheetId="9" r:id="rId9"/>
  </sheets>
  <functionGroups builtInGroupCount="19"/>
  <definedNames>
    <definedName name="_xlnm._FilterDatabase" localSheetId="3" hidden="1">Asientos!$P$2:$P$86</definedName>
    <definedName name="_xlnm._FilterDatabase" localSheetId="4" hidden="1">'Maestro conceptos'!$A$1:$G$1150</definedName>
    <definedName name="_xlnm._FilterDatabase" localSheetId="7" hidden="1">'Template Archivos'!$A$88:$N$90</definedName>
    <definedName name="Z_6836CE1C_C533_4F13_B6A7_EBCB0D2F14C8_.wvu.FilterData" localSheetId="0" hidden="1">Operadores!$A$1:$I$105</definedName>
  </definedNames>
  <calcPr calcId="191029"/>
  <customWorkbookViews>
    <customWorkbookView name="Filter 1" guid="{6836CE1C-C533-4F13-B6A7-EBCB0D2F14C8}" maximized="1" windowWidth="0" windowHeight="0" activeSheetId="0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3" i="4" l="1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2" i="4"/>
  <c r="E2" i="4"/>
  <c r="P86" i="4" l="1"/>
  <c r="P85" i="4"/>
  <c r="P84" i="4"/>
  <c r="P48" i="4"/>
  <c r="P13" i="4"/>
  <c r="P12" i="4"/>
  <c r="P80" i="4"/>
  <c r="P64" i="4"/>
  <c r="P63" i="4"/>
  <c r="P62" i="4"/>
  <c r="P61" i="4"/>
  <c r="P11" i="4"/>
  <c r="P10" i="4"/>
  <c r="P9" i="4"/>
  <c r="P8" i="4"/>
  <c r="P7" i="4"/>
  <c r="E86" i="4"/>
  <c r="E85" i="4"/>
  <c r="E84" i="4"/>
  <c r="F105" i="1" l="1"/>
  <c r="E105" i="1"/>
  <c r="F104" i="1"/>
  <c r="E104" i="1"/>
  <c r="F103" i="1"/>
  <c r="E103" i="1"/>
  <c r="E83" i="4"/>
  <c r="P83" i="4" s="1"/>
  <c r="F102" i="1"/>
  <c r="E102" i="1"/>
  <c r="E82" i="4"/>
  <c r="P82" i="4" s="1"/>
  <c r="E81" i="4"/>
  <c r="P81" i="4" s="1"/>
  <c r="E80" i="4"/>
  <c r="E79" i="4"/>
  <c r="P79" i="4" s="1"/>
  <c r="E78" i="4"/>
  <c r="P78" i="4" s="1"/>
  <c r="E77" i="4"/>
  <c r="P77" i="4" s="1"/>
  <c r="E76" i="4"/>
  <c r="P76" i="4" s="1"/>
  <c r="E75" i="4"/>
  <c r="P75" i="4" s="1"/>
  <c r="E74" i="4"/>
  <c r="P74" i="4" s="1"/>
  <c r="E73" i="4"/>
  <c r="P73" i="4" s="1"/>
  <c r="E72" i="4"/>
  <c r="P72" i="4" s="1"/>
  <c r="E71" i="4"/>
  <c r="P71" i="4" s="1"/>
  <c r="E70" i="4"/>
  <c r="P70" i="4" s="1"/>
  <c r="E69" i="4"/>
  <c r="P69" i="4" s="1"/>
  <c r="E68" i="4"/>
  <c r="P68" i="4" s="1"/>
  <c r="E67" i="4"/>
  <c r="P67" i="4" s="1"/>
  <c r="E66" i="4"/>
  <c r="P66" i="4" s="1"/>
  <c r="E65" i="4"/>
  <c r="P65" i="4" s="1"/>
  <c r="E64" i="4"/>
  <c r="E63" i="4"/>
  <c r="E62" i="4"/>
  <c r="E61" i="4"/>
  <c r="E60" i="4"/>
  <c r="P60" i="4" s="1"/>
  <c r="E59" i="4"/>
  <c r="P59" i="4" s="1"/>
  <c r="E58" i="4"/>
  <c r="P58" i="4" s="1"/>
  <c r="E57" i="4"/>
  <c r="P57" i="4" s="1"/>
  <c r="E56" i="4"/>
  <c r="P56" i="4" s="1"/>
  <c r="E55" i="4"/>
  <c r="P55" i="4" s="1"/>
  <c r="E54" i="4"/>
  <c r="P54" i="4" s="1"/>
  <c r="E53" i="4"/>
  <c r="P53" i="4" s="1"/>
  <c r="E52" i="4"/>
  <c r="P52" i="4" s="1"/>
  <c r="E51" i="4"/>
  <c r="P51" i="4" s="1"/>
  <c r="E50" i="4"/>
  <c r="P50" i="4" s="1"/>
  <c r="E49" i="4"/>
  <c r="P49" i="4" s="1"/>
  <c r="E48" i="4"/>
  <c r="E47" i="4"/>
  <c r="P47" i="4" s="1"/>
  <c r="E46" i="4"/>
  <c r="P46" i="4" s="1"/>
  <c r="E45" i="4"/>
  <c r="P45" i="4" s="1"/>
  <c r="E44" i="4"/>
  <c r="P44" i="4" s="1"/>
  <c r="E43" i="4"/>
  <c r="P43" i="4" s="1"/>
  <c r="E42" i="4"/>
  <c r="P42" i="4" s="1"/>
  <c r="E41" i="4"/>
  <c r="P41" i="4" s="1"/>
  <c r="E40" i="4"/>
  <c r="P40" i="4" s="1"/>
  <c r="E39" i="4"/>
  <c r="P39" i="4" s="1"/>
  <c r="E38" i="4"/>
  <c r="P38" i="4" s="1"/>
  <c r="E37" i="4"/>
  <c r="P37" i="4" s="1"/>
  <c r="E36" i="4"/>
  <c r="P36" i="4" s="1"/>
  <c r="E35" i="4"/>
  <c r="P35" i="4" s="1"/>
  <c r="E34" i="4"/>
  <c r="P34" i="4" s="1"/>
  <c r="E33" i="4"/>
  <c r="P33" i="4" s="1"/>
  <c r="E32" i="4"/>
  <c r="P32" i="4" s="1"/>
  <c r="E31" i="4"/>
  <c r="P31" i="4" s="1"/>
  <c r="E30" i="4"/>
  <c r="P30" i="4" s="1"/>
  <c r="E29" i="4"/>
  <c r="P29" i="4" s="1"/>
  <c r="E28" i="4"/>
  <c r="P28" i="4" s="1"/>
  <c r="E27" i="4"/>
  <c r="P27" i="4" s="1"/>
  <c r="E26" i="4"/>
  <c r="P26" i="4" s="1"/>
  <c r="E25" i="4"/>
  <c r="P25" i="4" s="1"/>
  <c r="E24" i="4"/>
  <c r="P24" i="4" s="1"/>
  <c r="E23" i="4"/>
  <c r="P23" i="4" s="1"/>
  <c r="E22" i="4"/>
  <c r="P22" i="4" s="1"/>
  <c r="E21" i="4"/>
  <c r="P21" i="4" s="1"/>
  <c r="E20" i="4"/>
  <c r="P20" i="4" s="1"/>
  <c r="E19" i="4"/>
  <c r="P19" i="4" s="1"/>
  <c r="E18" i="4"/>
  <c r="P18" i="4" s="1"/>
  <c r="E17" i="4"/>
  <c r="P17" i="4" s="1"/>
  <c r="E16" i="4"/>
  <c r="P16" i="4" s="1"/>
  <c r="E15" i="4"/>
  <c r="P15" i="4" s="1"/>
  <c r="E14" i="4"/>
  <c r="P14" i="4" s="1"/>
  <c r="E13" i="4"/>
  <c r="E12" i="4"/>
  <c r="E11" i="4"/>
  <c r="E10" i="4"/>
  <c r="E9" i="4"/>
  <c r="E8" i="4"/>
  <c r="E7" i="4"/>
  <c r="E6" i="4"/>
  <c r="P6" i="4" s="1"/>
  <c r="E5" i="4"/>
  <c r="P5" i="4" s="1"/>
  <c r="E4" i="4"/>
  <c r="P4" i="4" s="1"/>
  <c r="E3" i="4"/>
  <c r="P3" i="4" s="1"/>
  <c r="P2" i="4"/>
  <c r="F101" i="1"/>
  <c r="E101" i="1"/>
  <c r="F100" i="1"/>
  <c r="E100" i="1"/>
  <c r="F99" i="1"/>
  <c r="E99" i="1"/>
  <c r="F98" i="1"/>
  <c r="E98" i="1"/>
  <c r="F97" i="1"/>
  <c r="E97" i="1"/>
  <c r="F96" i="1"/>
  <c r="E96" i="1"/>
  <c r="F95" i="1"/>
  <c r="E95" i="1"/>
  <c r="F94" i="1"/>
  <c r="E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E77" i="1"/>
  <c r="F76" i="1"/>
  <c r="E76" i="1"/>
  <c r="F75" i="1"/>
  <c r="E75" i="1"/>
  <c r="F74" i="1"/>
  <c r="E74" i="1"/>
  <c r="F73" i="1"/>
  <c r="E73" i="1"/>
  <c r="F72" i="1"/>
  <c r="E72" i="1"/>
  <c r="F71" i="1"/>
  <c r="E71" i="1"/>
  <c r="F70" i="1"/>
  <c r="E70" i="1"/>
  <c r="F69" i="1"/>
  <c r="E69" i="1"/>
  <c r="F68" i="1"/>
  <c r="E68" i="1"/>
  <c r="F67" i="1"/>
  <c r="E67" i="1"/>
  <c r="F66" i="1"/>
  <c r="E66" i="1"/>
  <c r="F65" i="1"/>
  <c r="E65" i="1"/>
  <c r="F64" i="1"/>
  <c r="E64" i="1"/>
  <c r="F63" i="1"/>
  <c r="E63" i="1"/>
  <c r="F62" i="1"/>
  <c r="E62" i="1"/>
  <c r="F61" i="1"/>
  <c r="E61" i="1"/>
  <c r="F60" i="1"/>
  <c r="E60" i="1"/>
  <c r="F59" i="1"/>
  <c r="E59" i="1"/>
  <c r="F58" i="1"/>
  <c r="E58" i="1"/>
  <c r="F57" i="1"/>
  <c r="E57" i="1"/>
  <c r="F56" i="1"/>
  <c r="E56" i="1"/>
  <c r="F55" i="1"/>
  <c r="E55" i="1"/>
  <c r="F54" i="1"/>
  <c r="E54" i="1"/>
  <c r="F53" i="1"/>
  <c r="E53" i="1"/>
  <c r="F52" i="1"/>
  <c r="E52" i="1"/>
  <c r="F51" i="1"/>
  <c r="E51" i="1"/>
  <c r="F50" i="1"/>
  <c r="E50" i="1"/>
  <c r="F49" i="1"/>
  <c r="E49" i="1"/>
  <c r="F48" i="1"/>
  <c r="E48" i="1"/>
  <c r="F47" i="1"/>
  <c r="E47" i="1"/>
  <c r="F46" i="1"/>
  <c r="E46" i="1"/>
  <c r="F45" i="1"/>
  <c r="E45" i="1"/>
  <c r="F44" i="1"/>
  <c r="E44" i="1"/>
  <c r="F43" i="1"/>
  <c r="E43" i="1"/>
  <c r="F42" i="1"/>
  <c r="E42" i="1"/>
  <c r="F41" i="1"/>
  <c r="E41" i="1"/>
  <c r="F40" i="1"/>
  <c r="E40" i="1"/>
  <c r="F39" i="1"/>
  <c r="E39" i="1"/>
  <c r="F38" i="1"/>
  <c r="E38" i="1"/>
  <c r="F37" i="1"/>
  <c r="E37" i="1"/>
  <c r="F36" i="1"/>
  <c r="E36" i="1"/>
  <c r="F35" i="1"/>
  <c r="E35" i="1"/>
  <c r="F34" i="1"/>
  <c r="E34" i="1"/>
  <c r="F33" i="1"/>
  <c r="E33" i="1"/>
  <c r="F32" i="1"/>
  <c r="E32" i="1"/>
  <c r="F31" i="1"/>
  <c r="E31" i="1"/>
  <c r="F30" i="1"/>
  <c r="E30" i="1"/>
  <c r="F29" i="1"/>
  <c r="E29" i="1"/>
  <c r="F28" i="1"/>
  <c r="E28" i="1"/>
  <c r="F27" i="1"/>
  <c r="E27" i="1"/>
  <c r="F26" i="1"/>
  <c r="E26" i="1"/>
  <c r="F25" i="1"/>
  <c r="E25" i="1"/>
  <c r="F24" i="1"/>
  <c r="E24" i="1"/>
  <c r="F23" i="1"/>
  <c r="E23" i="1"/>
  <c r="F22" i="1"/>
  <c r="E22" i="1"/>
  <c r="F21" i="1"/>
  <c r="E21" i="1"/>
  <c r="F20" i="1"/>
  <c r="E20" i="1"/>
  <c r="F19" i="1"/>
  <c r="E19" i="1"/>
  <c r="F18" i="1"/>
  <c r="E18" i="1"/>
  <c r="F17" i="1"/>
  <c r="E17" i="1"/>
  <c r="F16" i="1"/>
  <c r="E16" i="1"/>
  <c r="F15" i="1"/>
  <c r="E15" i="1"/>
  <c r="F14" i="1"/>
  <c r="E14" i="1"/>
  <c r="F13" i="1"/>
  <c r="E13" i="1"/>
  <c r="F12" i="1"/>
  <c r="E12" i="1"/>
  <c r="F11" i="1"/>
  <c r="E11" i="1"/>
  <c r="F10" i="1"/>
  <c r="E10" i="1"/>
  <c r="F9" i="1"/>
  <c r="F8" i="1"/>
  <c r="E8" i="1"/>
  <c r="F7" i="1"/>
  <c r="E7" i="1"/>
  <c r="F6" i="1"/>
  <c r="E6" i="1"/>
  <c r="F5" i="1"/>
  <c r="E5" i="1"/>
  <c r="F4" i="1"/>
  <c r="E4" i="1"/>
  <c r="F3" i="1"/>
  <c r="E3" i="1"/>
  <c r="F2" i="1"/>
  <c r="E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" authorId="0" shapeId="0" xr:uid="{00000000-0006-0000-0000-000001000000}">
      <text>
        <r>
          <rPr>
            <sz val="11"/>
            <color theme="1"/>
            <rFont val="Calibri"/>
            <family val="2"/>
            <scheme val="minor"/>
          </rPr>
          <t>======
ID#AAAAcPZGYXE
tc={9E2A82BD-37AB-4926-B35B-7AEDF39A402D}    (2022-07-01 18:16:13)
[Threaded comment]
Your version of Excel allows you to read this threaded comment; however, any edits to it will get removed if the file is opened in a newer version of Excel. Learn more: https://go.microsoft.com/fwlink/?linkid=870924
Comment:
    Mail usuario</t>
        </r>
      </text>
    </comment>
    <comment ref="E1" authorId="0" shapeId="0" xr:uid="{00000000-0006-0000-0000-000005000000}">
      <text>
        <r>
          <rPr>
            <sz val="11"/>
            <color theme="1"/>
            <rFont val="Calibri"/>
            <family val="2"/>
            <scheme val="minor"/>
          </rPr>
          <t>======
ID#AAAAcPZGYWk
tc={0CCA480D-5AB1-40CE-A158-E4E9DEC8DF88}    (2022-07-01 18:16:12)
[Threaded comment]
Your version of Excel allows you to read this threaded comment; however, any edits to it will get removed if the file is opened in a newer version of Excel. Learn more: https://go.microsoft.com/fwlink/?linkid=870924
Comment:
    Ingresar el nombre exacto del archivo del proveedor que será copiado en la carpeta del robot</t>
        </r>
      </text>
    </comment>
    <comment ref="F1" authorId="0" shapeId="0" xr:uid="{00000000-0006-0000-0000-000002000000}">
      <text>
        <r>
          <rPr>
            <sz val="11"/>
            <color theme="1"/>
            <rFont val="Calibri"/>
            <family val="2"/>
            <scheme val="minor"/>
          </rPr>
          <t>======
ID#AAAAcPZGYXA
tc={783D03C5-EB6E-42CF-AF47-10F2DF4D34C8}    (2022-07-01 18:16:13)
[Threaded comment]
Your version of Excel allows you to read this threaded comment; however, any edits to it will get removed if the file is opened in a newer version of Excel. Learn more: https://go.microsoft.com/fwlink/?linkid=870924
Comment:
    Ruta de la base del país/centro</t>
        </r>
      </text>
    </comment>
    <comment ref="H1" authorId="0" shapeId="0" xr:uid="{00000000-0006-0000-0000-000003000000}">
      <text>
        <r>
          <rPr>
            <sz val="11"/>
            <color theme="1"/>
            <rFont val="Calibri"/>
            <family val="2"/>
            <scheme val="minor"/>
          </rPr>
          <t>======
ID#AAAAcPZGYWs
tc={844B3EA4-D076-44ED-9AE7-8DF353312B18}    (2022-07-01 18:16:13)
[Threaded comment]
Your version of Excel allows you to read this threaded comment; however, any edits to it will get removed if the file is opened in a newer version of Excel. Learn more: https://go.microsoft.com/fwlink/?linkid=870924
Comment:
    Tab en la que el robot debe copiar los conceptos del proveedor</t>
        </r>
      </text>
    </comment>
    <comment ref="I1" authorId="0" shapeId="0" xr:uid="{00000000-0006-0000-0000-000004000000}">
      <text>
        <r>
          <rPr>
            <sz val="11"/>
            <color theme="1"/>
            <rFont val="Calibri"/>
            <family val="2"/>
            <scheme val="minor"/>
          </rPr>
          <t>======
ID#AAAAcPZGYWo
tc={A63D4E04-729C-48F5-8B51-EE3FDF594F38}    (2022-07-01 18:16:13)
[Threaded comment]
Your version of Excel allows you to read this threaded comment; however, any edits to it will get removed if the file is opened in a newer version of Excel. Learn more: https://go.microsoft.com/fwlink/?linkid=870924
Comment:
    Información para desarrollador</t>
        </r>
      </text>
    </comment>
    <comment ref="C93" authorId="0" shapeId="0" xr:uid="{00000000-0006-0000-0000-000006000000}">
      <text>
        <r>
          <rPr>
            <sz val="11"/>
            <color theme="1"/>
            <rFont val="Calibri"/>
            <family val="2"/>
            <scheme val="minor"/>
          </rPr>
          <t>======
ID#AAAAcPZGYWw
Hualison Freitas De Oliveira    (2021-06-15 17:39:44)
@gustavo.gerkman@mercadolivre.com , poderia por favor inserir neste linha os números de pedidos (OCs) referente a fatura 3PL abertos nos meses de Janeiro à Maio/21? Obrigado.
_Atribuído a Gustavo Costa Gerkman_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g/JUUlXMDPbk2qrGeo1H6//uzNCg=="/>
    </ext>
  </extL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D1" authorId="0" shapeId="0" xr:uid="{00000000-0006-0000-0300-000001000000}">
      <text>
        <r>
          <rPr>
            <sz val="11"/>
            <color theme="1"/>
            <rFont val="Calibri"/>
            <family val="2"/>
            <scheme val="minor"/>
          </rPr>
          <t>======
ID#AAAAcPZGYXI
tc={8D66E5C1-BEAD-4EF7-8C3A-FDA40606DBAB}    (2022-07-01 18:16:13)
[Threaded comment]
Your version of Excel allows you to read this threaded comment; however, any edits to it will get removed if the file is opened in a newer version of Excel. Learn more: https://go.microsoft.com/fwlink/?linkid=870924
Comment:
    Mail usuario</t>
        </r>
      </text>
    </comment>
    <comment ref="E1" authorId="0" shapeId="0" xr:uid="{00000000-0006-0000-0300-000002000000}">
      <text>
        <r>
          <rPr>
            <sz val="11"/>
            <color theme="1"/>
            <rFont val="Calibri"/>
            <family val="2"/>
            <scheme val="minor"/>
          </rPr>
          <t>======
ID#AAAAcPZGYW4
tc={8EF8B405-5F22-4CFC-9D13-4923C6E336B5}    (2022-07-01 18:16:13)
[Threaded comment]
Your version of Excel allows you to read this threaded comment; however, any edits to it will get removed if the file is opened in a newer version of Excel. Learn more: https://go.microsoft.com/fwlink/?linkid=870924
Comment:
    Ruta de la base del país/centro</t>
        </r>
      </text>
    </comment>
    <comment ref="G1" authorId="0" shapeId="0" xr:uid="{00000000-0006-0000-0300-000003000000}">
      <text>
        <r>
          <rPr>
            <sz val="11"/>
            <color theme="1"/>
            <rFont val="Calibri"/>
            <family val="2"/>
            <scheme val="minor"/>
          </rPr>
          <t>======
ID#AAAAcPZGYW0
tc={A58D23DD-6091-499B-AE88-10DD3C108EEA}    (2022-07-01 18:16:13)
[Threaded comment]
Your version of Excel allows you to read this threaded comment; however, any edits to it will get removed if the file is opened in a newer version of Excel. Learn more: https://go.microsoft.com/fwlink/?linkid=870924
Comment:
    Tab en la que el robot debe copiar los conceptos del proveedor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ilHoKAf+ERvd7xlHMTeZ00TrgfOQ=="/>
    </ext>
  </extL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/>
  </authors>
  <commentList>
    <comment ref="A1" authorId="0" shapeId="0" xr:uid="{00000000-0006-0000-0700-000001000000}">
      <text>
        <r>
          <rPr>
            <sz val="11"/>
            <color theme="1"/>
            <rFont val="Calibri"/>
            <family val="2"/>
            <scheme val="minor"/>
          </rPr>
          <t>======
ID#AAAAcPZGYW8
tc={51262B79-A09A-494D-BF8A-07EB32A0818B}    (2022-07-01 18:16:13)
[Threaded comment]
Your version of Excel allows you to read this threaded comment; however, any edits to it will get removed if the file is opened in a newer version of Excel. Learn more: https://go.microsoft.com/fwlink/?linkid=870924
Comment:
    Ingresar el nombre exacto del archivo del proveedor que será copiado en la carpeta del robot</t>
        </r>
      </text>
    </comment>
  </commentList>
  <extLst>
    <ext xmlns:r="http://schemas.openxmlformats.org/officeDocument/2006/relationships" uri="GoogleSheetsCustomDataVersion1">
      <go:sheetsCustomData xmlns:go="http://customooxmlschemas.google.com/" r:id="rId1" roundtripDataSignature="AMtx7mhTZHnrkHeRIL6LS4LnxQX/knfVAw=="/>
    </ext>
  </extLst>
</comments>
</file>

<file path=xl/sharedStrings.xml><?xml version="1.0" encoding="utf-8"?>
<sst xmlns="http://schemas.openxmlformats.org/spreadsheetml/2006/main" count="8930" uniqueCount="1649">
  <si>
    <t>Operador</t>
  </si>
  <si>
    <t>País</t>
  </si>
  <si>
    <t>Centro</t>
  </si>
  <si>
    <t>Responsable</t>
  </si>
  <si>
    <t>Nombre archivo Op.</t>
  </si>
  <si>
    <t>Ruta base</t>
  </si>
  <si>
    <t>Nombre Base</t>
  </si>
  <si>
    <t>Tab base</t>
  </si>
  <si>
    <t>Template</t>
  </si>
  <si>
    <t>DHL</t>
  </si>
  <si>
    <t>Mexico</t>
  </si>
  <si>
    <t>FBM Prologis</t>
  </si>
  <si>
    <t>ext_lacernic@mercadolibre.com</t>
  </si>
  <si>
    <t>Base FF Mexico [mm.aa].xlsx</t>
  </si>
  <si>
    <t>Resumen DHL</t>
  </si>
  <si>
    <t>MEXICO1</t>
  </si>
  <si>
    <t>CEVA</t>
  </si>
  <si>
    <t>Chile</t>
  </si>
  <si>
    <t>FBM Colina</t>
  </si>
  <si>
    <t>Base FF Chile [mm.aa].xlsx</t>
  </si>
  <si>
    <t>Resumen CEVA</t>
  </si>
  <si>
    <t>CHILE1</t>
  </si>
  <si>
    <t>XD</t>
  </si>
  <si>
    <t>Base XD Chile [mm.aa].xlsx</t>
  </si>
  <si>
    <t>SVC Renca 1</t>
  </si>
  <si>
    <t>Base SVC Chile [mm.aa].xlsx</t>
  </si>
  <si>
    <t>Resumen Renca 1</t>
  </si>
  <si>
    <t>SVC Renca 2</t>
  </si>
  <si>
    <t>Resumen Renca 2</t>
  </si>
  <si>
    <t>SVC Coquimbo</t>
  </si>
  <si>
    <t>Resumen Coquimbo</t>
  </si>
  <si>
    <t>SVC Rancagua</t>
  </si>
  <si>
    <t>Resumen Rancagua</t>
  </si>
  <si>
    <t>ext_rictorre@mercadolibre.com</t>
  </si>
  <si>
    <t>ChileTEST SVC Rancagua</t>
  </si>
  <si>
    <t>Base SVC ChileTEST [mm.aa].xlsx</t>
  </si>
  <si>
    <t>SVC Concepcion</t>
  </si>
  <si>
    <t>Resumen Concepcion</t>
  </si>
  <si>
    <t>SUPPLA</t>
  </si>
  <si>
    <t>Colombia</t>
  </si>
  <si>
    <t>FBM Funza</t>
  </si>
  <si>
    <t>Base FF Colombia [mm.aa].xlsx</t>
  </si>
  <si>
    <t>COLOMBIA1</t>
  </si>
  <si>
    <t>SVC Bogota</t>
  </si>
  <si>
    <t>Base SVC Colombia [mm.aa].xlsx</t>
  </si>
  <si>
    <t>Resumen Bogota</t>
  </si>
  <si>
    <t>SVC Cali</t>
  </si>
  <si>
    <t>Resumen Cali</t>
  </si>
  <si>
    <t>SVC Pereira</t>
  </si>
  <si>
    <t>Resumen Pereira</t>
  </si>
  <si>
    <t>SVC Medellin</t>
  </si>
  <si>
    <t>Resumen Medellin</t>
  </si>
  <si>
    <t>SVC Tunja</t>
  </si>
  <si>
    <t>Resumen Tunja</t>
  </si>
  <si>
    <t>XD Bogota</t>
  </si>
  <si>
    <t>Base XD Colombia [mm.aa].xlsx</t>
  </si>
  <si>
    <t>Resumen DHL Bogota</t>
  </si>
  <si>
    <t>XD Cali</t>
  </si>
  <si>
    <t>UNIDOCKS</t>
  </si>
  <si>
    <t>Brasil</t>
  </si>
  <si>
    <t>XD Riberao Preto</t>
  </si>
  <si>
    <t>sofia.gatti@mercadolibre.com</t>
  </si>
  <si>
    <t>Base XD Brasil [mm.aa].xlsx</t>
  </si>
  <si>
    <t>Resumen RP</t>
  </si>
  <si>
    <t>BRASIL1</t>
  </si>
  <si>
    <t>XD Campinas</t>
  </si>
  <si>
    <t>Resumen Camp</t>
  </si>
  <si>
    <t>XD Vila Guillherme</t>
  </si>
  <si>
    <t>Resumen VG</t>
  </si>
  <si>
    <t>XD Arena</t>
  </si>
  <si>
    <t>Resumen AR</t>
  </si>
  <si>
    <t>XD Bauru</t>
  </si>
  <si>
    <t>Resumen Bauru</t>
  </si>
  <si>
    <t>XD Sao Bernardo</t>
  </si>
  <si>
    <t>Resumen SB</t>
  </si>
  <si>
    <t>XD Vitoria</t>
  </si>
  <si>
    <t>Resumen Vitoria</t>
  </si>
  <si>
    <t>XD Rio de Janeiro</t>
  </si>
  <si>
    <t>Resumen RJ</t>
  </si>
  <si>
    <t>XD Recife</t>
  </si>
  <si>
    <t>Resumen Recife</t>
  </si>
  <si>
    <t>XD Salvador</t>
  </si>
  <si>
    <t>Resumen Salvador</t>
  </si>
  <si>
    <t>XD Goiania</t>
  </si>
  <si>
    <t>Resumen Goiania</t>
  </si>
  <si>
    <t>XD Curitiba</t>
  </si>
  <si>
    <t>Resumen Curitiba</t>
  </si>
  <si>
    <t>XD Guarulhos</t>
  </si>
  <si>
    <t>Resumen GU</t>
  </si>
  <si>
    <t>FBM Anhanguera</t>
  </si>
  <si>
    <t>Base FF Brasil [mm.aa].xlsx</t>
  </si>
  <si>
    <t>Resumen ANHANGUERA</t>
  </si>
  <si>
    <t>FBM Cajamar</t>
  </si>
  <si>
    <t>Resumen CAJAMAR</t>
  </si>
  <si>
    <t>FBM Louveira</t>
  </si>
  <si>
    <t>Resumen LOUVEIRA</t>
  </si>
  <si>
    <t>Generico</t>
  </si>
  <si>
    <t>Argentina</t>
  </si>
  <si>
    <t>SVC Lanús</t>
  </si>
  <si>
    <t>ext_fepoblet@mercadolibre.com</t>
  </si>
  <si>
    <t>Base SVC Argentina [mm.aa].xlsx</t>
  </si>
  <si>
    <t>Resumen Lanús</t>
  </si>
  <si>
    <t>GENERICO</t>
  </si>
  <si>
    <t>SVC Alcorta</t>
  </si>
  <si>
    <t>Resumen Alcorta</t>
  </si>
  <si>
    <t>SVC Morón</t>
  </si>
  <si>
    <t>Resumen Morón</t>
  </si>
  <si>
    <t>SVC Munro</t>
  </si>
  <si>
    <t>Resumen Munro</t>
  </si>
  <si>
    <t>AirHUB Guarulhos</t>
  </si>
  <si>
    <t>Base AirHUB Brasil [mm.aa].xlsx</t>
  </si>
  <si>
    <t>Resumen Gua AirHUB [mm.aaaa]</t>
  </si>
  <si>
    <t>SVC AntoGoLive</t>
  </si>
  <si>
    <t>Resumen Antofagasta Go Live</t>
  </si>
  <si>
    <t>SVC Antofagasta</t>
  </si>
  <si>
    <t>Resumen Antofagasta</t>
  </si>
  <si>
    <t>SVC ConcepGoLive</t>
  </si>
  <si>
    <t>Resumen Concepción Go Live</t>
  </si>
  <si>
    <t>SVC CoqGoLive</t>
  </si>
  <si>
    <t>Resumen Coquimbo Go Live</t>
  </si>
  <si>
    <t>SVC RancaGoLive</t>
  </si>
  <si>
    <t>Resumen Rancagua Go Live</t>
  </si>
  <si>
    <t>SVC Renca1_StartUp</t>
  </si>
  <si>
    <t>Resumen Renca 1 StartUp</t>
  </si>
  <si>
    <t>SVC Renca2_StartUp</t>
  </si>
  <si>
    <t>Resumen Renca 2 StartUp</t>
  </si>
  <si>
    <t>FBM Jordanesia</t>
  </si>
  <si>
    <t>Resumen Jordanesia</t>
  </si>
  <si>
    <t>XD Medellin</t>
  </si>
  <si>
    <t>SVC Rosario</t>
  </si>
  <si>
    <t>Resumen Rosario</t>
  </si>
  <si>
    <t>SVC Chillan</t>
  </si>
  <si>
    <t>Resumen Chillan</t>
  </si>
  <si>
    <t>SVC ChillGoLive</t>
  </si>
  <si>
    <t>Resumen Chillan Go Live</t>
  </si>
  <si>
    <t>SVC Talca</t>
  </si>
  <si>
    <t>Resumen Talca</t>
  </si>
  <si>
    <t>SVC TalcGoLive</t>
  </si>
  <si>
    <t>Resumen Talca Go Live</t>
  </si>
  <si>
    <t>SVC Puerto Montt</t>
  </si>
  <si>
    <t>Resumen Puerto Montt</t>
  </si>
  <si>
    <t>SVC PuertGoLive</t>
  </si>
  <si>
    <t>Resumen Puerto Montt Go Live</t>
  </si>
  <si>
    <t>XD Franca</t>
  </si>
  <si>
    <t>Resumen Franca</t>
  </si>
  <si>
    <t>SVC La Plata</t>
  </si>
  <si>
    <t>Resumen La Plata</t>
  </si>
  <si>
    <t>XD Rosario</t>
  </si>
  <si>
    <t>Base XD Argentina [mm.aa].xlsx</t>
  </si>
  <si>
    <t>XD Cordoba</t>
  </si>
  <si>
    <t>Resumen Cordoba</t>
  </si>
  <si>
    <t>SVC Cordoba</t>
  </si>
  <si>
    <t>SVC Ibague</t>
  </si>
  <si>
    <t>Resumen Ibague</t>
  </si>
  <si>
    <t>SVC Copiapo</t>
  </si>
  <si>
    <t>Resumen Copiapo</t>
  </si>
  <si>
    <t>SVC CopiGoLive</t>
  </si>
  <si>
    <t>Resumen Copiapo Go Live</t>
  </si>
  <si>
    <t>SVC Barranquilla</t>
  </si>
  <si>
    <t>Resumen Barranquilla</t>
  </si>
  <si>
    <t>SVC Cartagena</t>
  </si>
  <si>
    <t>Resumen Cartagena</t>
  </si>
  <si>
    <t>SVC Burcaramanga</t>
  </si>
  <si>
    <t>Resumen Burcaramanga</t>
  </si>
  <si>
    <t>SVC Temuco</t>
  </si>
  <si>
    <t>Resumen Temuco</t>
  </si>
  <si>
    <t>SVC TemGoLive</t>
  </si>
  <si>
    <t>Resumen Temuco Golive</t>
  </si>
  <si>
    <t>SVC Los Angeles</t>
  </si>
  <si>
    <t>Resumen Los Angeles</t>
  </si>
  <si>
    <t>SVC Viña del Mar</t>
  </si>
  <si>
    <t>Resumen Viña del Mar</t>
  </si>
  <si>
    <t>SVC ViñaGoLive</t>
  </si>
  <si>
    <t>Resumen ViñaGoLive</t>
  </si>
  <si>
    <t>XD Concepcion</t>
  </si>
  <si>
    <t>XD Rancagua</t>
  </si>
  <si>
    <t>XD Talca</t>
  </si>
  <si>
    <t>Base Generica [mm.aa].xlsx</t>
  </si>
  <si>
    <t>Generico colombia</t>
  </si>
  <si>
    <t>Generico Rosario</t>
  </si>
  <si>
    <t>ext_joovalle@mercadolibre.com</t>
  </si>
  <si>
    <t>Generico rosario</t>
  </si>
  <si>
    <t>BRASIL</t>
  </si>
  <si>
    <t>XD Provisão Fatura 3PL</t>
  </si>
  <si>
    <t>Provisão 3PL - Dezembro21</t>
  </si>
  <si>
    <t>SP V Guillherme</t>
  </si>
  <si>
    <t>Brasil XD Provisão Fatura 3PL</t>
  </si>
  <si>
    <t>BRASIL2</t>
  </si>
  <si>
    <t>Belo Horizonte / Mina Gerais</t>
  </si>
  <si>
    <t>Campinas</t>
  </si>
  <si>
    <t>Rio de Janeiro</t>
  </si>
  <si>
    <t>Curitiba/Paraná</t>
  </si>
  <si>
    <t>Guarulhos</t>
  </si>
  <si>
    <t>Barueri - Arena</t>
  </si>
  <si>
    <t>San Bernardo (Ex Cajamar)</t>
  </si>
  <si>
    <t>Riberao Prieto</t>
  </si>
  <si>
    <t>Florianopolis</t>
  </si>
  <si>
    <t>Porto Alegre</t>
  </si>
  <si>
    <t>Vitoria</t>
  </si>
  <si>
    <t>Goiania</t>
  </si>
  <si>
    <t>Recife</t>
  </si>
  <si>
    <t>Salvador</t>
  </si>
  <si>
    <t>Bauru</t>
  </si>
  <si>
    <t>XD Temuco</t>
  </si>
  <si>
    <t>SVC Vallenar</t>
  </si>
  <si>
    <t>Resumen Vallenar</t>
  </si>
  <si>
    <t>SVC Los Andes</t>
  </si>
  <si>
    <t>Resumen Los Andes</t>
  </si>
  <si>
    <t>SVC Valdivia</t>
  </si>
  <si>
    <t>Resumen Valdivia</t>
  </si>
  <si>
    <t>SVC Osorno</t>
  </si>
  <si>
    <t>Resumen Osorno</t>
  </si>
  <si>
    <t>SVC Funza</t>
  </si>
  <si>
    <t>Resumen Funza</t>
  </si>
  <si>
    <t>FBM Funza 2</t>
  </si>
  <si>
    <t>Resumen DHL 2</t>
  </si>
  <si>
    <t>XD Viña del Mar</t>
  </si>
  <si>
    <t>Pais</t>
  </si>
  <si>
    <t>Materialidad LC</t>
  </si>
  <si>
    <t>Materialidad USD</t>
  </si>
  <si>
    <t>Uruguay</t>
  </si>
  <si>
    <t>España</t>
  </si>
  <si>
    <t>USA</t>
  </si>
  <si>
    <t>Costa Rica</t>
  </si>
  <si>
    <t>Ecuador</t>
  </si>
  <si>
    <t>Peru</t>
  </si>
  <si>
    <t>Venezuela</t>
  </si>
  <si>
    <t>ChileTEST</t>
  </si>
  <si>
    <t>Sociedad</t>
  </si>
  <si>
    <t>Moneda</t>
  </si>
  <si>
    <t>Tolerancia</t>
  </si>
  <si>
    <t>TCP</t>
  </si>
  <si>
    <t>ARS</t>
  </si>
  <si>
    <t>MEL</t>
  </si>
  <si>
    <t>BRL</t>
  </si>
  <si>
    <t>MLC</t>
  </si>
  <si>
    <t>CLP</t>
  </si>
  <si>
    <t>MCO</t>
  </si>
  <si>
    <t>COP</t>
  </si>
  <si>
    <t>DRM</t>
  </si>
  <si>
    <t>MXN</t>
  </si>
  <si>
    <t>Ruta Macro</t>
  </si>
  <si>
    <t>Nombre Macro</t>
  </si>
  <si>
    <t>Orden</t>
  </si>
  <si>
    <t>Generar asientos</t>
  </si>
  <si>
    <t>0C_SC_C1</t>
  </si>
  <si>
    <t>NO</t>
  </si>
  <si>
    <t>0C_SC_P1</t>
  </si>
  <si>
    <t>MES</t>
  </si>
  <si>
    <t>AÑO</t>
  </si>
  <si>
    <t>0C_SC_D1</t>
  </si>
  <si>
    <t>0C_SC_R1</t>
  </si>
  <si>
    <t>0C_SC_B1</t>
  </si>
  <si>
    <t>0c_SB01</t>
  </si>
  <si>
    <t>0c_SVA1</t>
  </si>
  <si>
    <t>0c_SRI1</t>
  </si>
  <si>
    <t>0c_SBY1</t>
  </si>
  <si>
    <t>0c_SAN1</t>
  </si>
  <si>
    <t>Macro SG Chile FBM</t>
  </si>
  <si>
    <t>Macro SG Chile XD</t>
  </si>
  <si>
    <t>Macro SG Mexico FBM Prologis</t>
  </si>
  <si>
    <t>XD Riberao Prieto</t>
  </si>
  <si>
    <t>Macro AR SA XD Brasil</t>
  </si>
  <si>
    <t>Macro SG XD Campinas</t>
  </si>
  <si>
    <t>Macro SG XD Vila Guilherme</t>
  </si>
  <si>
    <t>XD Guarulhos II</t>
  </si>
  <si>
    <t>Resumen GU II</t>
  </si>
  <si>
    <t>Macro SG XD Guarulhos II</t>
  </si>
  <si>
    <t>Macro SG Brasil FBM Anhanguera</t>
  </si>
  <si>
    <t>Macro SG Brasil FBM Cajamar</t>
  </si>
  <si>
    <t>Macro SG Brasil FBM Louveira</t>
  </si>
  <si>
    <t>Fasttrack</t>
  </si>
  <si>
    <t>SVC Lanus</t>
  </si>
  <si>
    <t>Macro AR SA Argentina SVC</t>
  </si>
  <si>
    <t>0C_SBU1</t>
  </si>
  <si>
    <t>0C_SCF2</t>
  </si>
  <si>
    <t>0C_SBU2</t>
  </si>
  <si>
    <t>0C_SBU3</t>
  </si>
  <si>
    <t>Resumen Gua AirHUB</t>
  </si>
  <si>
    <t>0c_AHGRU</t>
  </si>
  <si>
    <t>0C_SC_A1</t>
  </si>
  <si>
    <t>Macro SA Brasil FBM Jordanesia</t>
  </si>
  <si>
    <t>Loginter</t>
  </si>
  <si>
    <t>Macro AR SA Argentina SVCXD</t>
  </si>
  <si>
    <t>0C_SRO1</t>
  </si>
  <si>
    <t>0C_SC_H1</t>
  </si>
  <si>
    <t>0C_SC_T1</t>
  </si>
  <si>
    <t>0C_SC_M1</t>
  </si>
  <si>
    <t>0C_SLA1</t>
  </si>
  <si>
    <t>0C_SCO1</t>
  </si>
  <si>
    <t>0c_STO1</t>
  </si>
  <si>
    <t>Link</t>
  </si>
  <si>
    <t>0c_SAT1</t>
  </si>
  <si>
    <t>0c_SBL1</t>
  </si>
  <si>
    <t>0c_SSA1</t>
  </si>
  <si>
    <t>0C_SC_G1</t>
  </si>
  <si>
    <t>0C_SC_U1</t>
  </si>
  <si>
    <t>SVC TemGolive</t>
  </si>
  <si>
    <t>Resumen TemGolive</t>
  </si>
  <si>
    <t>0C_SC_L1</t>
  </si>
  <si>
    <t>0C_SC_V1</t>
  </si>
  <si>
    <t>0C_SC_W1</t>
  </si>
  <si>
    <t>0C_SC_Q1</t>
  </si>
  <si>
    <t>0C_SC_J1</t>
  </si>
  <si>
    <t>0C_SC_I1</t>
  </si>
  <si>
    <t>0c_SCI1</t>
  </si>
  <si>
    <t>Concepto proveedor</t>
  </si>
  <si>
    <t>Concepto ML</t>
  </si>
  <si>
    <t>Cuenta</t>
  </si>
  <si>
    <t>Ceco</t>
  </si>
  <si>
    <t xml:space="preserve">Acreedor </t>
  </si>
  <si>
    <t>Texto</t>
  </si>
  <si>
    <t>Chile FBM Colina</t>
  </si>
  <si>
    <t>(1.1) MO - Administrativa</t>
  </si>
  <si>
    <t>MO - Administrativa</t>
  </si>
  <si>
    <t>9N50A90240</t>
  </si>
  <si>
    <t>Provi MO - Administrativa FBM Colina [mes]</t>
  </si>
  <si>
    <t>(1.2) MO - Operativa</t>
  </si>
  <si>
    <t>MO - Operativa</t>
  </si>
  <si>
    <t>Provi MO - Operativa FBM Colina [mes]</t>
  </si>
  <si>
    <t>Servicio de Transporte</t>
  </si>
  <si>
    <t>Provi Servicio de Transporte FBM Colina [mes]</t>
  </si>
  <si>
    <t>Alimentación</t>
  </si>
  <si>
    <t>Provi Alimentación FBM Colina [mes]</t>
  </si>
  <si>
    <t>Ropa de Trabajo</t>
  </si>
  <si>
    <t>Provi Ropa de Trabajo FBM Colina [mes]</t>
  </si>
  <si>
    <t>(1.5) MO - Ajuste mes anterior</t>
  </si>
  <si>
    <t>MO - Ajuste mes anterior</t>
  </si>
  <si>
    <t>Provi MO - Ajuste mes anterior FBM Colina [mes]</t>
  </si>
  <si>
    <t>(1.6) Habilitaciones</t>
  </si>
  <si>
    <t>Habilitaciones</t>
  </si>
  <si>
    <t>Provi Habilitaciones FBM Colina [mes]</t>
  </si>
  <si>
    <t>(1.4) Habilitaciones</t>
  </si>
  <si>
    <t>Hora Extra</t>
  </si>
  <si>
    <t>HE</t>
  </si>
  <si>
    <t>Provi HE FBM Colina [mes]</t>
  </si>
  <si>
    <t>Segurança (nuevo scope)</t>
  </si>
  <si>
    <t>Provi Segurança (nuevo scope) FBM Colina [mes]</t>
  </si>
  <si>
    <t>Limpieza + EcoLogica</t>
  </si>
  <si>
    <t>Provi Limpieza + EcoLogica FBM Colina [mes]</t>
  </si>
  <si>
    <t>Mantenimiento &amp; IT</t>
  </si>
  <si>
    <t>Provi Mantenimiento &amp; IT FBM Colina [mes]</t>
  </si>
  <si>
    <t>MHE</t>
  </si>
  <si>
    <t>Provi MHE FBM Colina [mes]</t>
  </si>
  <si>
    <t>Insumos (segunda línea que dice esta palabra)</t>
  </si>
  <si>
    <t>Insumos</t>
  </si>
  <si>
    <t>Provi Insumos FBM Colina [mes]</t>
  </si>
  <si>
    <t>Starup</t>
  </si>
  <si>
    <t>Startup</t>
  </si>
  <si>
    <t>Provi Startup FBM Colina [mes]</t>
  </si>
  <si>
    <t>Inversión</t>
  </si>
  <si>
    <t>Inversiones</t>
  </si>
  <si>
    <t>Provi Inversiones FBM Colina [mes]</t>
  </si>
  <si>
    <t>Otros</t>
  </si>
  <si>
    <t>Provi Otros FBM Colina [mes]</t>
  </si>
  <si>
    <t>Chile XD</t>
  </si>
  <si>
    <t>6253T90240</t>
  </si>
  <si>
    <t>Provi MO - Administrativa XD [mes]</t>
  </si>
  <si>
    <t>Provi MO - Operativa XD [mes]</t>
  </si>
  <si>
    <t>Provi Servicio de Transporte XD [mes]</t>
  </si>
  <si>
    <t>Provi Alimentación XD [mes]</t>
  </si>
  <si>
    <t>Provi Ropa de Trabajo XD [mes]</t>
  </si>
  <si>
    <t>Provi Habilitaciones XD [mes]</t>
  </si>
  <si>
    <t>Provi HE XD [mes]</t>
  </si>
  <si>
    <t>Provi Segurança (nuevo scope) XD [mes]</t>
  </si>
  <si>
    <t>Provi Limpieza + EcoLogica XD [mes]</t>
  </si>
  <si>
    <t>Provi Mantenimiento &amp; IT XD [mes]</t>
  </si>
  <si>
    <t>Provi MHE XD [mes]</t>
  </si>
  <si>
    <t>Provi Insumos XD [mes]</t>
  </si>
  <si>
    <t>Provi Startup XD [mes]</t>
  </si>
  <si>
    <t>Provi Inversiones XD [mes]</t>
  </si>
  <si>
    <t>Provi Otros XD [mes]</t>
  </si>
  <si>
    <t>Chile SVC Renca 1</t>
  </si>
  <si>
    <t>6053S90240</t>
  </si>
  <si>
    <t>Provi MO - Administrativa SVC Renca 1 [mes]</t>
  </si>
  <si>
    <t>Provi MO - Operativa SVC Renca 1 [mes]</t>
  </si>
  <si>
    <t>Provi Servicio de Transporte SVC Renca 1 [mes]</t>
  </si>
  <si>
    <t>Provi Alimentación SVC Renca 1 [mes]</t>
  </si>
  <si>
    <t>Provi Ropa de Trabajo SVC Renca 1 [mes]</t>
  </si>
  <si>
    <t>Provi HabilitacionesSVC Renca 1 [mes]</t>
  </si>
  <si>
    <t>Provi HE SVC Renca 1 [mes]</t>
  </si>
  <si>
    <t>Provi Segurança (nuevo scope) SVC Renca 1 [mes]</t>
  </si>
  <si>
    <t>Provi Limpieza + EcoLogica SVC Renca 1 [mes]</t>
  </si>
  <si>
    <t>Provi Mantenimiento &amp; IT SVC Renca 1 [mes]</t>
  </si>
  <si>
    <t>Provi MHE SVC Renca 1 [mes]</t>
  </si>
  <si>
    <t>Provi Insumos SVC Renca 1 [mes]</t>
  </si>
  <si>
    <t>Provi Startup SVC Renca 1 [mes]</t>
  </si>
  <si>
    <t>Provi Inversiones SVC Renca 1 [mes]</t>
  </si>
  <si>
    <t>Provi Otros SVC Renca 1 [mes]</t>
  </si>
  <si>
    <t>Chile SVC Renca 2</t>
  </si>
  <si>
    <t>Provi MO - Administrativa SVC Renca 2 [mes]</t>
  </si>
  <si>
    <t>Provi MO - Operativa SVC Renca 2 [mes]</t>
  </si>
  <si>
    <t>Provi Servicio de Transporte SVC Renca 2 [mes]</t>
  </si>
  <si>
    <t>Provi Alimentación SVC Renca 2 [mes]</t>
  </si>
  <si>
    <t>Provi Ropa de Trabajo SVC Renca 2 [mes]</t>
  </si>
  <si>
    <t>Provi HabilitacionesSVC Renca 2 [mes]</t>
  </si>
  <si>
    <t>Provi HE SVC Renca 2 [mes]</t>
  </si>
  <si>
    <t>Provi Segurança (nuevo scope) SVC Renca 2 [mes]</t>
  </si>
  <si>
    <t>Provi Limpieza + EcoLogica SVC Renca 2 [mes]</t>
  </si>
  <si>
    <t>Provi Mantenimiento &amp; IT SVC Renca 2 [mes]</t>
  </si>
  <si>
    <t>Provi MHE SVC Renca 2 [mes]</t>
  </si>
  <si>
    <t>Provi Insumos SVC Renca 2 [mes]</t>
  </si>
  <si>
    <t>Provi Startup SVC Renca 2 [mes]</t>
  </si>
  <si>
    <t>Provi Inversiones SVC Renca 2 [mes]</t>
  </si>
  <si>
    <t>Provi Otros SVC Renca 2 [mes]</t>
  </si>
  <si>
    <t>Chile SVC Coquimbo</t>
  </si>
  <si>
    <t>Provi MO - Administrativa SVC Coquimbo [mes]</t>
  </si>
  <si>
    <t>Provi MO - Operativa SVC Coquimbo [mes]</t>
  </si>
  <si>
    <t>Provi Servicio de Transporte SVC Coquimbo [mes]</t>
  </si>
  <si>
    <t>Provi Alimentación SVC Coquimbo [mes]</t>
  </si>
  <si>
    <t>Provi Ropa de Trabajo SVC Coquimbo [mes]</t>
  </si>
  <si>
    <t>Provi HabilitacionesSVC Coquimbo [mes]</t>
  </si>
  <si>
    <t>Provi HE SVC Coquimbo [mes]</t>
  </si>
  <si>
    <t>Provi Segurança (nuevo scope) SVC Coquimbo [mes]</t>
  </si>
  <si>
    <t>Provi Limpieza + EcoLogica SVC Coquimbo [mes]</t>
  </si>
  <si>
    <t>Provi Mantenimiento &amp; IT SVC Coquimbo [mes]</t>
  </si>
  <si>
    <t>Provi MHE SVC Coquimbo [mes]</t>
  </si>
  <si>
    <t>Provi InsumosSVC Coquimbo [mes]</t>
  </si>
  <si>
    <t>Provi Startup SVC Coquimbo [mes]</t>
  </si>
  <si>
    <t>Provi Inversiones SVC Coquimbo [mes]</t>
  </si>
  <si>
    <t>Provi Otros SVC Coquimbo [mes]</t>
  </si>
  <si>
    <t>Chile SVC Concepcion</t>
  </si>
  <si>
    <t>Provi MO - Administrativa SVC Concepción [mes]</t>
  </si>
  <si>
    <t>Provi MO - Operativa SVC Concepción [mes]</t>
  </si>
  <si>
    <t>Provi Servicio de Transporte SVC Concepción [mes]</t>
  </si>
  <si>
    <t>Provi Alimentación SVC Concepción [mes]</t>
  </si>
  <si>
    <t>Provi Ropa de Trabajo SVC Concepción [mes]</t>
  </si>
  <si>
    <t>Provi HabilitacionesSVC Concepción [mes]</t>
  </si>
  <si>
    <t>Provi HE SVC Concepción [mes]</t>
  </si>
  <si>
    <t>Provi Segurança (nuevo scope) SVC Concepción [mes]</t>
  </si>
  <si>
    <t>Provi Limpieza + EcoLogica SVC Concepción [mes]</t>
  </si>
  <si>
    <t>Provi Mantenimiento &amp; IT SVC Concepción [mes]</t>
  </si>
  <si>
    <t>Provi MHE SVC Concepción [mes]</t>
  </si>
  <si>
    <t>Provi InsumosSVC Concepción [mes]</t>
  </si>
  <si>
    <t>Starup (segunda línea que dice esta palabra)</t>
  </si>
  <si>
    <t>Provi Startup SVC Concepción [mes]</t>
  </si>
  <si>
    <t>Provi Inversiones SVC Concepción [mes]</t>
  </si>
  <si>
    <t>Provi Otros SVC Concepción [mes]</t>
  </si>
  <si>
    <t>Chile SVC Rancagua</t>
  </si>
  <si>
    <t>Provi MO - Administrativa SVC Rancagua [mes]</t>
  </si>
  <si>
    <t>Provi MO - Operativa SVC Rancagua [mes]</t>
  </si>
  <si>
    <t>Provi Servicio de Transporte SVC Rancagua [mes]</t>
  </si>
  <si>
    <t>Provi Alimentación SVC Rancagua [mes]</t>
  </si>
  <si>
    <t>Provi Ropa de Trabajo SVC Rancagua [mes]</t>
  </si>
  <si>
    <t>Provi HabilitacionesSVC Rancagua [mes]</t>
  </si>
  <si>
    <t>Provi HE SVC Rancagua [mes]</t>
  </si>
  <si>
    <t>Provi Segurança (nuevo scope) SVC Rancagua [mes]</t>
  </si>
  <si>
    <t>Provi Limpieza + EcoLogica SVC Rancagua [mes]</t>
  </si>
  <si>
    <t>Provi Mantenimiento &amp; IT SVC Rancagua [mes]</t>
  </si>
  <si>
    <t>Provi MHE SVC Rancagua [mes]</t>
  </si>
  <si>
    <t>Provi InsumosSVC Rancagua [mes]</t>
  </si>
  <si>
    <t>Provi Startup SVC Rancagua [mes]</t>
  </si>
  <si>
    <t xml:space="preserve">Seguro Covid  19 (Ley 21342)  </t>
  </si>
  <si>
    <t>Labour Covid</t>
  </si>
  <si>
    <t>Provi Labour Covid SVC Rancagua [mes]</t>
  </si>
  <si>
    <t>Seguro Covid  19 (Ley 21342)</t>
  </si>
  <si>
    <t>Provi Inversiones SVC Rancagua [mes]</t>
  </si>
  <si>
    <t>Provi Otros SVC Rancagua [mes]</t>
  </si>
  <si>
    <t>Colombia FBM Funza</t>
  </si>
  <si>
    <t>Alquiler</t>
  </si>
  <si>
    <t>Alquiler equipos</t>
  </si>
  <si>
    <t>6350A90160</t>
  </si>
  <si>
    <t>Provi Alquiler equipos FBM Funza [mes]</t>
  </si>
  <si>
    <t>Mantenimiento</t>
  </si>
  <si>
    <t>Mantenimiento equipos</t>
  </si>
  <si>
    <t>Provi Mantenimiento equipos FBM Funza [mes]</t>
  </si>
  <si>
    <t>Depreciación</t>
  </si>
  <si>
    <t>Depreciación equipos</t>
  </si>
  <si>
    <t>Provi Depreciación equipos FBM Funza [mes]</t>
  </si>
  <si>
    <t>Utilidad</t>
  </si>
  <si>
    <t>Margen DHL</t>
  </si>
  <si>
    <t>Provi Margen DHL FBM Funza [mes]</t>
  </si>
  <si>
    <t>Reciclaje</t>
  </si>
  <si>
    <t>Devolución Reciclaje</t>
  </si>
  <si>
    <t>Provi Devolución Reciclaje FBM Funza [mes]</t>
  </si>
  <si>
    <t>Averia Equipo</t>
  </si>
  <si>
    <t>Provi Devolución Averia Equipo FBM Funza [mes]</t>
  </si>
  <si>
    <t>Devolucion Fee Ausentismo Covid19</t>
  </si>
  <si>
    <t>Devolución Fee</t>
  </si>
  <si>
    <t>Provi Devolución Fee FBM Funza [mes]</t>
  </si>
  <si>
    <t>Transporte</t>
  </si>
  <si>
    <t>Transporte sobrecosto covid19</t>
  </si>
  <si>
    <t>Provi Transporte sobrecosto covid19 FBM Funza [mes]</t>
  </si>
  <si>
    <t>EPP</t>
  </si>
  <si>
    <t>Insumos sobrecosto covid19</t>
  </si>
  <si>
    <t>Provi Insumos sobrecosto covid19 FBM Funza [mes]</t>
  </si>
  <si>
    <t>Insumo</t>
  </si>
  <si>
    <t>Servicio</t>
  </si>
  <si>
    <t>Servicios sobrecosto covid19</t>
  </si>
  <si>
    <t>Provi Servicios sobrecosto covid19 FBM Funza [mes]</t>
  </si>
  <si>
    <t>Colombia SVC Bogota</t>
  </si>
  <si>
    <t>6053S90160</t>
  </si>
  <si>
    <t>Provi Alquiler equipos SVC Bogotá [mes]</t>
  </si>
  <si>
    <t>Provi Mantenimiento equipos SVC Bogotá [mes]</t>
  </si>
  <si>
    <t>Provi Depreciación equipos SVC Bogotá [mes]</t>
  </si>
  <si>
    <t>Provi Margen DHL SVC Bogotá [mes]</t>
  </si>
  <si>
    <t>Provi Transporte sobrecosto covid19 SVC Bogotá [mes]</t>
  </si>
  <si>
    <t>Provi Insumos sobrecosto covid19 SVC Bogotá [mes]</t>
  </si>
  <si>
    <t>Provi Servicios sobrecosto covid19 SVC Bogotá [mes]</t>
  </si>
  <si>
    <t>Provi Devolución Fee SVC Bogotá [mes]</t>
  </si>
  <si>
    <t>Provi Devolución Reciclaje SVC Bogotá [mes]</t>
  </si>
  <si>
    <t>Colombia SVC Cali</t>
  </si>
  <si>
    <t>Provi Alquiler equipos SVC Cali [mes]</t>
  </si>
  <si>
    <t>Provi Mantenimiento equipos SVC Cali [mes]</t>
  </si>
  <si>
    <t>Provi Depreciación equipos SVC Cali [mes]</t>
  </si>
  <si>
    <t>Provi Margen DHL SVC Cali [mes]</t>
  </si>
  <si>
    <t>Provi Transporte sobrecosto covid19 SVC Cali [mes]</t>
  </si>
  <si>
    <t>Provi Insumos sobrecosto covid19 SVC Cali [mes]</t>
  </si>
  <si>
    <t>Provi Servicios sobrecosto covid19 SVC Cali [mes]</t>
  </si>
  <si>
    <t>Provi Devolución Fee SVC Cali [mes]</t>
  </si>
  <si>
    <t>Provi Devolución Reciclaje SVC Cali [mes]</t>
  </si>
  <si>
    <t>Colombia SVC Medellin</t>
  </si>
  <si>
    <t>Provi Margen DHL SVC Medellín [mes]</t>
  </si>
  <si>
    <t>Provi Alquiler equipos SVC Medellín [mes]</t>
  </si>
  <si>
    <t>Provi Mantenimiento equipos SVC Medellín [mes]</t>
  </si>
  <si>
    <t>Provi Depreciación equipos SVC Medellín [mes]</t>
  </si>
  <si>
    <t>Provi Transporte sobrecosto covid19 SVC Medellín [mes]</t>
  </si>
  <si>
    <t>Provi Insumos sobrecosto covid19 SVC Medellín [mes]</t>
  </si>
  <si>
    <t>Provi Servicios sobrecosto covid19 SVC Medellín [mes]</t>
  </si>
  <si>
    <t>Provi Devolución Reciclaje SVC Medellín [mes]</t>
  </si>
  <si>
    <t>Provi Devolución Fee SVC Medellín [mes]</t>
  </si>
  <si>
    <t>Colombia XD Bogota</t>
  </si>
  <si>
    <t>6253T90160</t>
  </si>
  <si>
    <t>Provi Margen DHL XD Bogotá [mes]</t>
  </si>
  <si>
    <t>Provi Transporte sobrecosto covid19 XD Bogotá [mes]</t>
  </si>
  <si>
    <t>Provi Insumos sobrecosto covid19 XD Bogotá [mes]</t>
  </si>
  <si>
    <t>Provi Servicios sobrecosto covid19 XD Bogotá [mes]</t>
  </si>
  <si>
    <t>Provi Devolución Fee XD Bogotá [mes]</t>
  </si>
  <si>
    <t>Provi Devolución Reciclaje XD Bogotá [mes]</t>
  </si>
  <si>
    <t>Provi Alquiler equipos XD Bogotá [mes]</t>
  </si>
  <si>
    <t>Provi Mantenimiento equipos XD Bogotá [mes]</t>
  </si>
  <si>
    <t>Provi Depreciación equipos XD Bogotá [mes]</t>
  </si>
  <si>
    <t>Colombia XD Cali</t>
  </si>
  <si>
    <t>Provi Margen DHL XD Cali [mes]</t>
  </si>
  <si>
    <t>Provi Transporte sobrecosto covid19 XD Cali [mes]</t>
  </si>
  <si>
    <t>Provi Insumos sobrecosto covid19 XD Cali [mes]</t>
  </si>
  <si>
    <t>Provi Servicios sobrecosto covid19 XD Cali [mes]</t>
  </si>
  <si>
    <t>Provi Devolución Reciclaje XD Cali [mes]</t>
  </si>
  <si>
    <t>Provi Devolución Fee XD Cali [mes]</t>
  </si>
  <si>
    <t>Provi Alquiler equipos XD Cali [mes]</t>
  </si>
  <si>
    <t>Provi Mantenimiento equipos XD Cali [mes]</t>
  </si>
  <si>
    <t>Provi Depreciación equipos XD Cali [mes]</t>
  </si>
  <si>
    <t>Colombia SVC Pereira</t>
  </si>
  <si>
    <t>Provi Margen DHL SVC Pereira [mes]</t>
  </si>
  <si>
    <t>Provi Alquiler equipos SVC Pereira [mes]</t>
  </si>
  <si>
    <t>Provi Mantenimiento equipos SVC Pereira [mes]</t>
  </si>
  <si>
    <t>Provi Depreciación equipos SVC Pereira [mes]</t>
  </si>
  <si>
    <t>Provi Transporte sobrecosto covid19 SVC Pereira [mes]</t>
  </si>
  <si>
    <t>Provi Insumos sobrecosto covid19 SVC Pereira [mes]</t>
  </si>
  <si>
    <t>Provi Servicios sobrecosto covid19 SVC Pereira [mes]</t>
  </si>
  <si>
    <t>Provi Devolución Fee SVC Pereira [mes]</t>
  </si>
  <si>
    <t>Provi Devolución Reciclaje SVC Pereira [mes]</t>
  </si>
  <si>
    <t>6053S90161</t>
  </si>
  <si>
    <t>Provi Alimentación SVC Pereira [mes]</t>
  </si>
  <si>
    <t>Brasil FBM Anhanguera</t>
  </si>
  <si>
    <t>Tt Outbound</t>
  </si>
  <si>
    <t>Mão de obra Outbound</t>
  </si>
  <si>
    <t>6Z50S50530</t>
  </si>
  <si>
    <t>Provi Mão de obra Outbound FBM Anhanguera [mes]</t>
  </si>
  <si>
    <t>Tt Inbound</t>
  </si>
  <si>
    <t>Mão de obra Inbound</t>
  </si>
  <si>
    <t>6Z50S40530</t>
  </si>
  <si>
    <t>Provi Mão de obra Inbound FBM Anhanguera [mes]</t>
  </si>
  <si>
    <t>Tt Inventário</t>
  </si>
  <si>
    <t>Mão de obra Inventario</t>
  </si>
  <si>
    <t>6Z50S30530</t>
  </si>
  <si>
    <t>Provi Mão de obra Inventario FBM Anhanguera [mes]</t>
  </si>
  <si>
    <t>Tt Qualidade</t>
  </si>
  <si>
    <t>Mão de obra Calidad</t>
  </si>
  <si>
    <t>Provi Mão de obra Calidad FBM Anhanguera [mes]</t>
  </si>
  <si>
    <t>Tt Staff</t>
  </si>
  <si>
    <t>Mão de obra Staff</t>
  </si>
  <si>
    <t>6Z50A90530</t>
  </si>
  <si>
    <t>Provi Mão de obra Staff FBM Anhanguera [mes]</t>
  </si>
  <si>
    <t>FF COVID LIMPIEZA</t>
  </si>
  <si>
    <t>Limpieza Covid</t>
  </si>
  <si>
    <t>Provi Limpieza Covid FBM Anhanguera [mes]</t>
  </si>
  <si>
    <t>Subtotal Covid Labor</t>
  </si>
  <si>
    <t>Provi Labour Covid FBM Anhanguera [mes]</t>
  </si>
  <si>
    <t>FF COVID OTROS</t>
  </si>
  <si>
    <t>Otros Covid</t>
  </si>
  <si>
    <t>Provi Otros Covid FBM Anhanguera [mes]</t>
  </si>
  <si>
    <t>Área&amp;Condomínio&amp;Gastos Gerais</t>
  </si>
  <si>
    <t>Área/Condominios</t>
  </si>
  <si>
    <t>Provi Área/Condominios FBM Anhanguera [mes]</t>
  </si>
  <si>
    <t>Outros</t>
  </si>
  <si>
    <t>Provi Otros FBM Anhanguera [mes]</t>
  </si>
  <si>
    <t>Insumos Operacionais</t>
  </si>
  <si>
    <t>Packaging</t>
  </si>
  <si>
    <t>Provi Packaging FBM Anhanguera [mes]</t>
  </si>
  <si>
    <t>Margem</t>
  </si>
  <si>
    <t>Margen (6%)</t>
  </si>
  <si>
    <t>Provi Margen (6%) FBM Anhanguera [mes]</t>
  </si>
  <si>
    <t>Subtotal Investimentos</t>
  </si>
  <si>
    <t>Provi Inversiones  FBM Anhanguera [mes]</t>
  </si>
  <si>
    <t>Subtotal Descontos</t>
  </si>
  <si>
    <t>Descuentos</t>
  </si>
  <si>
    <t>Provi Descuentos FBM Anhanguera [mes]</t>
  </si>
  <si>
    <t>Brasil FBM Louveira</t>
  </si>
  <si>
    <t>6A50S50529</t>
  </si>
  <si>
    <t>Provi Otros FBM Louveira [mes]</t>
  </si>
  <si>
    <t>FF OTROS Y OTROS (DESCUENTOS)</t>
  </si>
  <si>
    <t>Otros costos y Otros (descuento)</t>
  </si>
  <si>
    <t>6A50S50530</t>
  </si>
  <si>
    <t>Provi Otros costos FBM Louveira [mes]</t>
  </si>
  <si>
    <t>Provi Limpieza Covid FBM Louveira [mes]</t>
  </si>
  <si>
    <t>FF COVID LABOUR</t>
  </si>
  <si>
    <t>Provi Labour Covid FBM Louveira [mes]</t>
  </si>
  <si>
    <t>Provi Otros Covid FBM Louveira [mes]</t>
  </si>
  <si>
    <t>Brasil FBM Cajamar</t>
  </si>
  <si>
    <t>6B50S50530</t>
  </si>
  <si>
    <t>Provi Limpieza Covid FBM Cajamar [mes]</t>
  </si>
  <si>
    <t>Provi Labour Covid FBM Cajamar [mes]</t>
  </si>
  <si>
    <t>Provi Otros Covid FBM Cajamar [mes]</t>
  </si>
  <si>
    <t>Argentina SVC Lanús</t>
  </si>
  <si>
    <t>Ajuste correcciones anteriores</t>
  </si>
  <si>
    <t>Mano de obra tercerizada</t>
  </si>
  <si>
    <t>6053S90710</t>
  </si>
  <si>
    <t>Provi Mano de Obra tercerizada  SVC Lanus</t>
  </si>
  <si>
    <t>Diferencia operativa mes previo</t>
  </si>
  <si>
    <t>Costo laboral Operarios</t>
  </si>
  <si>
    <t>Costo laboral Supervisores + Administ</t>
  </si>
  <si>
    <t>Costo laboral Gerente Operación</t>
  </si>
  <si>
    <t>Costo laboral Director Operaciones</t>
  </si>
  <si>
    <t>Personal eventual</t>
  </si>
  <si>
    <t>Fee</t>
  </si>
  <si>
    <t>Margen</t>
  </si>
  <si>
    <t>Provi Margen   SVC Lanus</t>
  </si>
  <si>
    <t>SERVICIO DE SEGURIDAD</t>
  </si>
  <si>
    <t>Seguridad</t>
  </si>
  <si>
    <t>Provi Seguridad  SVC Lanus</t>
  </si>
  <si>
    <t>SERVICIO DE LIMPIEZA</t>
  </si>
  <si>
    <t>Limpieza</t>
  </si>
  <si>
    <t>Provi Limpieza  SVC Lanus</t>
  </si>
  <si>
    <t>SERVICIO MANTENIMIENTO</t>
  </si>
  <si>
    <t>Reparaciones y mantenimiento</t>
  </si>
  <si>
    <t>Provi Reparaciones y Mantenimiento  SVC Lanus</t>
  </si>
  <si>
    <t>SANEAMIENTO Y CONTROL PLAGAS</t>
  </si>
  <si>
    <t>Warehousing</t>
  </si>
  <si>
    <t>Provi Warehousing  SVC Lanus</t>
  </si>
  <si>
    <t>SERVICIO AREA PROTEGIDA</t>
  </si>
  <si>
    <t>CAFETERÍA Y ALIMENTOS</t>
  </si>
  <si>
    <t>Provi Insumos  SVC Lanus</t>
  </si>
  <si>
    <t>ALQUILER GRUPO ELECTRÓGENO</t>
  </si>
  <si>
    <t>Provi Alquiler equipos  SVC Lanus</t>
  </si>
  <si>
    <t>SERVICIO DE ALARMAS</t>
  </si>
  <si>
    <t>TELEFONÍA, INTERNET Y OTROS</t>
  </si>
  <si>
    <t>LIBRERÍA</t>
  </si>
  <si>
    <t>GASTOS TRASLADO (CARPOOLING Y OTROS)</t>
  </si>
  <si>
    <t>Provi Otros  SVC Lanus</t>
  </si>
  <si>
    <t>FILM STRECH</t>
  </si>
  <si>
    <t>Provi Packaging  SVC Lanus</t>
  </si>
  <si>
    <t>SEGURIDAD E HIGIENE</t>
  </si>
  <si>
    <t>SHE</t>
  </si>
  <si>
    <t>Provi SHE  SVC Lanus</t>
  </si>
  <si>
    <t>INSUMOS COVID Y LIMPIEZA</t>
  </si>
  <si>
    <t>SERVICIO RED INCENDIOS</t>
  </si>
  <si>
    <t>VARIOS REAL STATE</t>
  </si>
  <si>
    <t>Tasa Seguridad e Higiene</t>
  </si>
  <si>
    <t>Alquiler Equipos</t>
  </si>
  <si>
    <t>Provi Alquiler Equipos  SVC Lanus</t>
  </si>
  <si>
    <t>ELECTRODOMÉSTICOS</t>
  </si>
  <si>
    <t>EQUIPAMIENTO</t>
  </si>
  <si>
    <t>REPARACIONES FUERA DE ABONO</t>
  </si>
  <si>
    <t>RECLUTAMIENTO PERSONAL</t>
  </si>
  <si>
    <t>SERVICIO MÉDICO LABORAL</t>
  </si>
  <si>
    <t>Costos COVID Shipp WH</t>
  </si>
  <si>
    <t>Provi Costos COVID Shipp WH  SVC Lanus</t>
  </si>
  <si>
    <t>UNIFORMES Y ZAPATOS</t>
  </si>
  <si>
    <t>Uniformes</t>
  </si>
  <si>
    <t>Provi Uniformes  SVC Lanus</t>
  </si>
  <si>
    <t>OTROS</t>
  </si>
  <si>
    <t>Tasa Seguridad e Higiene2</t>
  </si>
  <si>
    <t>Argentina SVC Alcorta</t>
  </si>
  <si>
    <t>Provi Mano de Obra tercerizada  SVC Alcorta</t>
  </si>
  <si>
    <t>Provi Margen   SVC Alcorta</t>
  </si>
  <si>
    <t>Provi Seguridad  SVC Alcorta</t>
  </si>
  <si>
    <t>Provi Limpieza  SVC Alcorta</t>
  </si>
  <si>
    <t>Provi Reparaciones y Mantenimiento  SVC Alcorta</t>
  </si>
  <si>
    <t>Provi Warehousing  SVC Alcorta</t>
  </si>
  <si>
    <t>Provi Insumos  SVC Alcorta</t>
  </si>
  <si>
    <t>Provi Alquiler equipos  SVC Alcorta</t>
  </si>
  <si>
    <t>Provi Otros  SVC Alcorta</t>
  </si>
  <si>
    <t>Provi Packaging  SVC Alcorta</t>
  </si>
  <si>
    <t>Provi SHE  SVC Alcorta</t>
  </si>
  <si>
    <t>Provi Alquiler Equipos  SVC Alcorta</t>
  </si>
  <si>
    <t>Provi Costos COVID Shipp WH  SVC Alcorta</t>
  </si>
  <si>
    <t>Provi Uniformes  SVC Alcorta</t>
  </si>
  <si>
    <t>Argentina SVC Morón</t>
  </si>
  <si>
    <t>Provi Mano de Obra tercerizada  SVC Morón</t>
  </si>
  <si>
    <t>Provi Margen   SVC Morón</t>
  </si>
  <si>
    <t>Provi Seguridad  SVC Morón</t>
  </si>
  <si>
    <t>Provi Limpieza  SVC Morón</t>
  </si>
  <si>
    <t>Provi Reparaciones y Mantenimiento  SVC Morón</t>
  </si>
  <si>
    <t>Provi Warehousing  SVC Morón</t>
  </si>
  <si>
    <t>Provi Insumos  SVC Morón</t>
  </si>
  <si>
    <t>Provi Alquiler equipos  SVC Morón</t>
  </si>
  <si>
    <t>Provi Otros  SVC Morón</t>
  </si>
  <si>
    <t>Provi Packaging  SVC Morón</t>
  </si>
  <si>
    <t>Provi SHE  SVC Morón</t>
  </si>
  <si>
    <t>Provi Alquiler Equipos  SVC Morón</t>
  </si>
  <si>
    <t>Provi Costos COVID Shipp WH  SVC Morón</t>
  </si>
  <si>
    <t>Provi Uniformes  SVC Morón</t>
  </si>
  <si>
    <t>Argentina SVC Munro</t>
  </si>
  <si>
    <t>Provi Mano de Obra tercerizada  SVC Munro</t>
  </si>
  <si>
    <t>Provi Margen   SVC Munro</t>
  </si>
  <si>
    <t>Provi Seguridad  SVC Munro</t>
  </si>
  <si>
    <t>Provi Limpieza  SVC Munro</t>
  </si>
  <si>
    <t>Provi Reparaciones y Mantenimiento  SVC Munro</t>
  </si>
  <si>
    <t>Provi Warehousing  SVC Munro</t>
  </si>
  <si>
    <t>Provi Insumos  SVC Munro</t>
  </si>
  <si>
    <t>Provi Alquiler equipos  SVC Munro</t>
  </si>
  <si>
    <t>Provi Otros  SVC Munro</t>
  </si>
  <si>
    <t>Provi Packaging  SVC Munro</t>
  </si>
  <si>
    <t>Provi SHE  SVC Munro</t>
  </si>
  <si>
    <t>Provi Alquiler Equipos  SVC Munro</t>
  </si>
  <si>
    <t>Provi Costos COVID Shipp WH  SVC Munro</t>
  </si>
  <si>
    <t>Provi Uniformes  SVC Munro</t>
  </si>
  <si>
    <t>Colombia SVC Tunja</t>
  </si>
  <si>
    <t>Provi Margen DHL SVC Tunja [mes]</t>
  </si>
  <si>
    <t>Provi Alquiler equipos SVC Tunja [mes]</t>
  </si>
  <si>
    <t>Provi Mantenimiento equipos SVC Tunja [mes]</t>
  </si>
  <si>
    <t>Provi Depreciación equipos SVC Tunja [mes]</t>
  </si>
  <si>
    <t>Provi Transporte sobrecosto covid19 SVC Tunja [mes]</t>
  </si>
  <si>
    <t>Provi Insumos sobrecosto covid19 SVC Tunja [mes]</t>
  </si>
  <si>
    <t>Provi Servicios sobrecosto covid19 SVC Tunja [mes]</t>
  </si>
  <si>
    <t>Provi Devolución Fee SVC Tunja [mes]</t>
  </si>
  <si>
    <t>Provi Devolución Reciclaje SVC Tunja [mes]</t>
  </si>
  <si>
    <t>Chile SVC Renca1_StartUp</t>
  </si>
  <si>
    <t>Provi MO - Administrativa SVC Renca 1 StartUp [mes]</t>
  </si>
  <si>
    <t>Provi MO - Operativa SVC Renca 1 StartUp [mes]</t>
  </si>
  <si>
    <t>Provi Servicio de Transporte SVC Renca 1 StartUp [mes]</t>
  </si>
  <si>
    <t>Provi Alimentación SVC Renca 1 StartUp [mes]</t>
  </si>
  <si>
    <t>Provi Ropa de Trabajo SVC Renca 1 StartUp [mes]</t>
  </si>
  <si>
    <t>Provi HabilitacionesSVC Renca 1 StartUp [mes]</t>
  </si>
  <si>
    <t>Provi HE SVC Renca 1 StartUp [mes]</t>
  </si>
  <si>
    <t>Provi Segurança (nuevo scope) SVC Renca 1 StartUp [mes]</t>
  </si>
  <si>
    <t>Provi Limpieza + EcoLogica SVC Renca 1 StartUp [mes]</t>
  </si>
  <si>
    <t>Provi Mantenimiento &amp; IT SVC Renca 1 StartUp [mes]</t>
  </si>
  <si>
    <t>Provi MHE SVC Renca 1 StartUp [mes]</t>
  </si>
  <si>
    <t>Provi Insumos SVC Renca 1 StartUp [mes]</t>
  </si>
  <si>
    <t>Provi Startup SVC Renca 1 StartUp [mes]</t>
  </si>
  <si>
    <t>Provi Inversiones SVC Renca 1 StartUp [mes]</t>
  </si>
  <si>
    <t>Provi Otros SVC Renca 1 StartUp [mes]</t>
  </si>
  <si>
    <t>Chile SVC Renca2_StartUp</t>
  </si>
  <si>
    <t>Provi MO - Administrativa SVC Renca 2 StartUp [mes]</t>
  </si>
  <si>
    <t>Provi MO - Operativa SVC Renca 2 StartUp [mes]</t>
  </si>
  <si>
    <t>Provi Servicio de Transporte SVC Renca 2 StartUp [mes]</t>
  </si>
  <si>
    <t>Provi Alimentación SVC Renca 2 StartUp [mes]</t>
  </si>
  <si>
    <t>Provi Ropa de Trabajo SVC Renca 2 StartUp [mes]</t>
  </si>
  <si>
    <t>Provi HabilitacionesSVC Renca 2 StartUp [mes]</t>
  </si>
  <si>
    <t>Provi HE SVC Renca 2 StartUp [mes]</t>
  </si>
  <si>
    <t>Provi Segurança (nuevo scope) SVC Renca 2 StartUp [mes]</t>
  </si>
  <si>
    <t>Provi Limpieza + EcoLogica SVC Renca 2 StartUp [mes]</t>
  </si>
  <si>
    <t>Provi Mantenimiento &amp; IT SVC Renca 2 StartUp [mes]</t>
  </si>
  <si>
    <t>Provi MHE SVC Renca 2 StartUp [mes]</t>
  </si>
  <si>
    <t>Provi Insumos SVC Renca 2 StartUp [mes]</t>
  </si>
  <si>
    <t>Provi Startup SVC Renca 2 StartUp [mes]</t>
  </si>
  <si>
    <t>Provi Inversiones SVC Renca 2 StartUp [mes]</t>
  </si>
  <si>
    <t>Provi Otros SVC Renca 2 StartUp [mes]</t>
  </si>
  <si>
    <t>Chile SVC CoqGoLive</t>
  </si>
  <si>
    <t>Provi MO - Administrativa SVC Coquimbo Go Live [mes]</t>
  </si>
  <si>
    <t>Provi MO - Operativa SVC Coquimbo Go Live [mes]</t>
  </si>
  <si>
    <t>Provi Servicio de Transporte SVC Coquimbo Go Live [mes]</t>
  </si>
  <si>
    <t>Provi Alimentación SVC Coquimbo Go Live [mes]</t>
  </si>
  <si>
    <t>Provi Ropa de Trabajo SVC Coquimbo Go Live [mes]</t>
  </si>
  <si>
    <t>Provi HabilitacionesSVC Coquimbo Go Live [mes]</t>
  </si>
  <si>
    <t>Provi HE SVC Coquimbo Go Live [mes]</t>
  </si>
  <si>
    <t>Provi Segurança (nuevo scope) SVC Coquimbo Go Live [mes]</t>
  </si>
  <si>
    <t>Provi Limpieza + EcoLogica SVC Coquimbo Go Live [mes]</t>
  </si>
  <si>
    <t>Provi Mantenimiento &amp; IT SVC Coquimbo Go Live [mes]</t>
  </si>
  <si>
    <t>Provi MHE SVC Coquimbo Go Live [mes]</t>
  </si>
  <si>
    <t>Provi InsumosSVC Coquimbo Go Live [mes]</t>
  </si>
  <si>
    <t>Provi Startup SVC Coquimbo Go Live [mes]</t>
  </si>
  <si>
    <t>Provi Inversiones SVC Coquimbo Go Live [mes]</t>
  </si>
  <si>
    <t>Provi Otros SVC Coquimbo Go Live [mes]</t>
  </si>
  <si>
    <t>Chile SVC ConcepGoLive</t>
  </si>
  <si>
    <t>Provi MO - Operativa SVC Concepción Go Live [mes]</t>
  </si>
  <si>
    <t>Provi Servicio de Transporte SVC Concepción Go Live [mes]</t>
  </si>
  <si>
    <t>Provi Alimentación SVC Concepción Go Live [mes]</t>
  </si>
  <si>
    <t>Provi Ropa de Trabajo SVC Concepción Go Live [mes]</t>
  </si>
  <si>
    <t>Provi HabilitacionesSVC Concepción Go Live [mes]</t>
  </si>
  <si>
    <t>Provi HE SVC Concepción Go Live [mes]</t>
  </si>
  <si>
    <t>Provi Segurança (nuevo scope) SVC Concepción Go Live [mes]</t>
  </si>
  <si>
    <t>Provi Limpieza + EcoLogica SVC Concepción Go Live [mes]</t>
  </si>
  <si>
    <t>Provi Mantenimiento &amp; IT SVC Concepción Go Live [mes]</t>
  </si>
  <si>
    <t>Provi MHE SVC Concepción Go Live [mes]</t>
  </si>
  <si>
    <t>Provi InsumosSVC Concepción Go Live [mes]</t>
  </si>
  <si>
    <t>Provi Startup SVC Concepción Go Live [mes]</t>
  </si>
  <si>
    <t>Provi Inversiones SVC Concepción Go Live [mes]</t>
  </si>
  <si>
    <t>Provi Otros SVC Concepción Go Live [mes]</t>
  </si>
  <si>
    <t>Chile SVC RancaGoLive</t>
  </si>
  <si>
    <t>Provi MO - Administrativa SVC Rancagua Go Live [mes]</t>
  </si>
  <si>
    <t>Provi MO - Operativa SVC Rancagua Go Live [mes]</t>
  </si>
  <si>
    <t>Provi Servicio de Transporte SVC Rancagua Go Live [mes]</t>
  </si>
  <si>
    <t>Provi Alimentación SVC Rancagua Go Live [mes]</t>
  </si>
  <si>
    <t>Provi Ropa de Trabajo SVC Rancagua Go Live [mes]</t>
  </si>
  <si>
    <t>Provi HabilitacionesSVC Rancagua Go Live [mes]</t>
  </si>
  <si>
    <t>Provi HE SVC Rancagua Go Live [mes]</t>
  </si>
  <si>
    <t>Provi Segurança (nuevo scope) SVC Rancagua Go Live [mes]</t>
  </si>
  <si>
    <t>Provi Limpieza + EcoLogica SVC Rancagua Go Live [mes]</t>
  </si>
  <si>
    <t>Provi Mantenimiento &amp; IT SVC Rancagua Go Live [mes]</t>
  </si>
  <si>
    <t>Provi MHE SVC Rancagua Go Live [mes]</t>
  </si>
  <si>
    <t>Provi InsumosSVC Rancagua Go Live [mes]</t>
  </si>
  <si>
    <t>Provi Startup SVC Rancagua Go Live [mes]</t>
  </si>
  <si>
    <t>Provi Inversiones SVC Rancagua Go Live [mes]</t>
  </si>
  <si>
    <t>Provi Otros SVC Rancagua Go Live [mes]</t>
  </si>
  <si>
    <t>Chile SVC Antofagasta</t>
  </si>
  <si>
    <t>Provi MO - Administrativa SVC Antofagasta [mes]</t>
  </si>
  <si>
    <t>Provi MO - Operativa SVC Antofagasta [mes]</t>
  </si>
  <si>
    <t>Provi Servicio de Transporte SVC Antofagasta [mes]</t>
  </si>
  <si>
    <t>Provi Alimentación SVC Antofagasta [mes]</t>
  </si>
  <si>
    <t>Provi Ropa de Trabajo SVC Antofagasta [mes]</t>
  </si>
  <si>
    <t>Provi HabilitacionesSVC Antofagasta [mes]</t>
  </si>
  <si>
    <t>Provi HE SVC Antofagasta [mes]</t>
  </si>
  <si>
    <t>Provi Segurança (nuevo scope) SVC Antofagasta [mes]</t>
  </si>
  <si>
    <t>Provi Limpieza + EcoLogica SVC Antofagasta [mes]</t>
  </si>
  <si>
    <t>Provi Mantenimiento &amp; IT SVC Antofagasta [mes]</t>
  </si>
  <si>
    <t>Provi MHE SVC Antofagasta [mes]</t>
  </si>
  <si>
    <t>Provi InsumosSVC Antofagasta [mes]</t>
  </si>
  <si>
    <t>Provi Startup SVC Antofagasta [mes]</t>
  </si>
  <si>
    <t>Provi Labour Covid SVC Antofagasta [mes]</t>
  </si>
  <si>
    <t>Reajuste Gratificación enero-julio 2021</t>
  </si>
  <si>
    <t>Ajuste MO</t>
  </si>
  <si>
    <t xml:space="preserve">Provi Ajuste MO SVC Antofagasta [mes] </t>
  </si>
  <si>
    <t>Provi Inversiones SVC Antofagasta [mes]</t>
  </si>
  <si>
    <t>Provi Otros SVC Antofagasta [mes]</t>
  </si>
  <si>
    <t>Chile SVC AntoGoLive</t>
  </si>
  <si>
    <t>Provi MO - Administrativa SVC Antofagasta Go Live [mes]</t>
  </si>
  <si>
    <t>Provi MO - Operativa SVC Antofagasta Go Live [mes]</t>
  </si>
  <si>
    <t>Provi Servicio de Transporte SVC Antofagasta Go Live [mes]</t>
  </si>
  <si>
    <t>Provi Alimentación SVC Antofagasta Go Live [mes]</t>
  </si>
  <si>
    <t>Provi Ropa de Trabajo SVC Antofagasta Go Live [mes]</t>
  </si>
  <si>
    <t>Provi HabilitacionesSVC Antofagasta Go Live [mes]</t>
  </si>
  <si>
    <t>Provi HE SVC Antofagasta Go Live [mes]</t>
  </si>
  <si>
    <t>Provi Segurança (nuevo scope) SVC Antofagasta Go Live [mes]</t>
  </si>
  <si>
    <t>Provi Limpieza + EcoLogica SVC Antofagasta Go Live [mes]</t>
  </si>
  <si>
    <t>Provi Mantenimiento &amp; IT SVC Antofagasta Go Live [mes]</t>
  </si>
  <si>
    <t>Provi MHE SVC Antofagasta Go Live [mes]</t>
  </si>
  <si>
    <t>Provi InsumosSVC Antofagasta Go Live [mes]</t>
  </si>
  <si>
    <t>Provi Startup SVC Antofagasta Go Live [mes]</t>
  </si>
  <si>
    <t>Provi Inversiones SVC Antofagasta Go Live [mes]</t>
  </si>
  <si>
    <t>Provi Otros SVC Antofagasta Go Live [mes]</t>
  </si>
  <si>
    <t>Brasil FBM Jordanesia</t>
  </si>
  <si>
    <t>Mão de obra</t>
  </si>
  <si>
    <t>6X50A90530</t>
  </si>
  <si>
    <t>Provi Mão de obra FBM Jordanesia [mes]</t>
  </si>
  <si>
    <t>Provi Margen FBM Jordanesia [mes]</t>
  </si>
  <si>
    <t>Provi Labour Covid FBM Jordanesia [mes]</t>
  </si>
  <si>
    <t>Refrigercao</t>
  </si>
  <si>
    <t>Provi Refrigercao FBM Jordanesia [mes]</t>
  </si>
  <si>
    <t>(1.5) Bonos</t>
  </si>
  <si>
    <t>Bonos</t>
  </si>
  <si>
    <t>Provi Bonos FBM Colina [mes]</t>
  </si>
  <si>
    <t>Provi Bonos Chile XD [mes]</t>
  </si>
  <si>
    <t>Provi Bonos Renca 1 [mes]</t>
  </si>
  <si>
    <t>Provi Bonos Renca 2 [mes]</t>
  </si>
  <si>
    <t>Provi Bonos Coquimbo [mes]</t>
  </si>
  <si>
    <t>(1.5)  Bonos</t>
  </si>
  <si>
    <t>Provi Bonos Concepción [mes]</t>
  </si>
  <si>
    <t>Provi Bonos Rancagua [mes]</t>
  </si>
  <si>
    <t>Provi Bonos Antofagasta [mes]</t>
  </si>
  <si>
    <t>(1.4) Otros Costos de Ingreso</t>
  </si>
  <si>
    <t>Otros Costos de Ingreso</t>
  </si>
  <si>
    <t>Provi Otros Costos de Ingreso FBM Colina [mes]</t>
  </si>
  <si>
    <t>Provi Otros Costos de Ingreso Chile XD [mes]</t>
  </si>
  <si>
    <t>Provi Otros Costos de Ingreso Renca 1 [mes]</t>
  </si>
  <si>
    <t>Provi Otros Costos de Ingreso Renca 2 [mes]</t>
  </si>
  <si>
    <t>Provi Otros Costos de Ingreso Coquimbo [mes]</t>
  </si>
  <si>
    <t>Provi Otros Costos de Ingreso Concepción [mes]</t>
  </si>
  <si>
    <t>Provi Otros Costos de Ingreso Rancagua [mes]</t>
  </si>
  <si>
    <t>Provi Otros Costos de Ingreso Antofagasta [mes]</t>
  </si>
  <si>
    <t>Estibas</t>
  </si>
  <si>
    <t>Provi Estibas XD Cali [mes]</t>
  </si>
  <si>
    <t>Servicios Cargue y Descargue</t>
  </si>
  <si>
    <t>Provi Servicios Cargue y Descargue XD Cali [mes]</t>
  </si>
  <si>
    <t>Dotación Operativo Directa</t>
  </si>
  <si>
    <t>Provi Dotación Operativo Directa SVC Medellín [mes]</t>
  </si>
  <si>
    <t>Dotación Operativa Indirecta</t>
  </si>
  <si>
    <t>Provi Dotación Operativa Indirecta SVC Medellín [mes]</t>
  </si>
  <si>
    <t>Costo Insumos (No Packing)</t>
  </si>
  <si>
    <t>Provi Costo Insumos (No Packing) SVC Medellín [mes]</t>
  </si>
  <si>
    <t>Start Up</t>
  </si>
  <si>
    <t>Provi Start Up SVC Pereira [mes]</t>
  </si>
  <si>
    <t>Otros Dotación (Training)</t>
  </si>
  <si>
    <t>Provi Otros Dotación (Training) SVC Tunja [mes]</t>
  </si>
  <si>
    <t>Provi Start Up SVC Tunja [mes]</t>
  </si>
  <si>
    <t>Mexico FBM Prologis</t>
  </si>
  <si>
    <t>COVID WHS</t>
  </si>
  <si>
    <t>Other Shipping Costs (COVID-19)</t>
  </si>
  <si>
    <t>6P50A90080</t>
  </si>
  <si>
    <t>Provi Otros costos COVID DHL [mes]</t>
  </si>
  <si>
    <t>Pallets operación</t>
  </si>
  <si>
    <t>Insumos Shipping</t>
  </si>
  <si>
    <t>Provi Insumos Shipping DHL [mes]</t>
  </si>
  <si>
    <t>Brasil AirHUB Guarulhos</t>
  </si>
  <si>
    <t>Shipping Labour</t>
  </si>
  <si>
    <t>6053H10530</t>
  </si>
  <si>
    <t xml:space="preserve">Provi.Shipping Labour MeliAir [mes] </t>
  </si>
  <si>
    <t>Equipamiento alquiler</t>
  </si>
  <si>
    <t>Provi.Equipamiento alquiler MeliAir [mes]</t>
  </si>
  <si>
    <t>Limpieza Shipping (XD)</t>
  </si>
  <si>
    <t>Provi.Limpieza Shipping (XD) MeliAir [mes]</t>
  </si>
  <si>
    <t>Seguridad Shipping (XD)</t>
  </si>
  <si>
    <t>Provi.Seguridad Shipping (XD) MeliAir [mes]</t>
  </si>
  <si>
    <t>Provi.Insumos Shipping MeliAir [mes]</t>
  </si>
  <si>
    <t>Shipping Warehousing</t>
  </si>
  <si>
    <t>Provi.Shipping Warehousing MeliAir [mes]</t>
  </si>
  <si>
    <t>Margen Operador Logístico</t>
  </si>
  <si>
    <t>Provi.Margen Operador Logístico MeliAir [mes]</t>
  </si>
  <si>
    <t>Comidas</t>
  </si>
  <si>
    <t>Provi.Comidas MeliAir [mes]</t>
  </si>
  <si>
    <t>Otros costos Shipping</t>
  </si>
  <si>
    <t>Provi.Otros costos Shipping MeliAir [mes]</t>
  </si>
  <si>
    <t>Otros costos</t>
  </si>
  <si>
    <t>Provi Otros Costos FBM Louveira [mes]</t>
  </si>
  <si>
    <t>Mão de obra Staff + Severance + Otros</t>
  </si>
  <si>
    <t>Provi Mão de obra Staff + Severance + Otros FBM Anhanguera [mes]</t>
  </si>
  <si>
    <t>Otros y Otros (descuentos)</t>
  </si>
  <si>
    <t>Provi Otros y Otros (descuentos) FBM Anhanguera [mes]</t>
  </si>
  <si>
    <t>Provi Estibas FBM Funza [mes]</t>
  </si>
  <si>
    <t>Provi Servicios Cargue y Descargue SVC Bogota [mes]</t>
  </si>
  <si>
    <t>Nomina</t>
  </si>
  <si>
    <t>Devolución Nomina</t>
  </si>
  <si>
    <t>Provi Devolución Nómina FBM Funza [mes]</t>
  </si>
  <si>
    <t>Colombia XD Medellin</t>
  </si>
  <si>
    <t>Provi Margen DHL XD Medellín [mes]</t>
  </si>
  <si>
    <t>Provi Alquiler equipos XD Medellín [mes]</t>
  </si>
  <si>
    <t>Provi Mantenimiento equipos XD Medellín [mes]</t>
  </si>
  <si>
    <t>Provi Depreciación equipos XD Medellín [mes]</t>
  </si>
  <si>
    <t>Provi Transporte sobrecosto covid19 XD Medellín [mes]</t>
  </si>
  <si>
    <t>Provi Insumos sobrecosto covid19 XD Medellín [mes]</t>
  </si>
  <si>
    <t>Provi Servicios sobrecosto covid19 XD Medellín [mes]</t>
  </si>
  <si>
    <t>Provi Devolución Reciclaje XD Medellín [mes]</t>
  </si>
  <si>
    <t>Provi Devolución Fee XD Medellín [mes]</t>
  </si>
  <si>
    <t>Provi Dotación Operativo Directa XD Medellín [mes]</t>
  </si>
  <si>
    <t>Provi Dotación Operativa Indirecta XD Medellín [mes]</t>
  </si>
  <si>
    <t>Provi Costo Insumos (No Packing) XD Medellín [mes]</t>
  </si>
  <si>
    <t>Provi Otros Dotación (Training) XD Medellín [mes]</t>
  </si>
  <si>
    <t>Provi Otros Dotación (Training) XD Cali [mes]</t>
  </si>
  <si>
    <t>Provi Estibas XD Medellin [mes]</t>
  </si>
  <si>
    <t>Devolucion Star Up conos</t>
  </si>
  <si>
    <t>Devolución Startup</t>
  </si>
  <si>
    <t>Provi.Devolución Startup XD [mes]</t>
  </si>
  <si>
    <t>Seguro Covid 19 Ley 21342</t>
  </si>
  <si>
    <t>Provi Labour Covid Renca 2 [mes]</t>
  </si>
  <si>
    <t>Seguro Covid 19 (Ley 21342)</t>
  </si>
  <si>
    <t>Provi Labour Covid Renca 1 [mes]</t>
  </si>
  <si>
    <t>Provi Ajuste MO SVC Renca 1 [mes]</t>
  </si>
  <si>
    <t>Descuento Diferencia Dotación (Part-Time)</t>
  </si>
  <si>
    <t>Provi Ajuste MO SVC Renca 2 [mes]</t>
  </si>
  <si>
    <t>Provi Labour Covid Rancagua [mes]</t>
  </si>
  <si>
    <t>Provi Ajuste MO SVC Rancagua [mes]</t>
  </si>
  <si>
    <t>Servicio de Transporte (1 al 22 de julio)</t>
  </si>
  <si>
    <t>Chile SVC Chillan</t>
  </si>
  <si>
    <t>Provi MO - Administrativa SVC Chillan [mes]</t>
  </si>
  <si>
    <t>Provi MO - Operativa SVC Chillan [mes]</t>
  </si>
  <si>
    <t>Provi Servicio de Transporte SVC Chillan [mes]</t>
  </si>
  <si>
    <t>Provi Alimentación SVC Chillan [mes]</t>
  </si>
  <si>
    <t>Provi Ropa de Trabajo SVC Chillan [mes]</t>
  </si>
  <si>
    <t>Provi HabilitacionesSVC Chillan [mes]</t>
  </si>
  <si>
    <t>Provi HE SVC Chillan [mes]</t>
  </si>
  <si>
    <t>Provi Segurança (nuevo scope) SVC Chillan [mes]</t>
  </si>
  <si>
    <t>Provi Limpieza + EcoLogica SVC Chillan [mes]</t>
  </si>
  <si>
    <t>Provi Mantenimiento &amp; IT SVC Chillan [mes]</t>
  </si>
  <si>
    <t>Provi MHE SVC Chillan [mes]</t>
  </si>
  <si>
    <t>Provi Insumos SVC Chillan [mes]</t>
  </si>
  <si>
    <t>Provi Startup SVC Chillan [mes]</t>
  </si>
  <si>
    <t>Provi Inversiones SVC Chillan [mes]</t>
  </si>
  <si>
    <t>Provi Otros SVC Chillan [mes]</t>
  </si>
  <si>
    <t>Provi Bonos Chillan [mes]</t>
  </si>
  <si>
    <t>Provi Otros Costos de Ingreso Chillan [mes]</t>
  </si>
  <si>
    <t>Provi Ajuste MO Chillan [mes]</t>
  </si>
  <si>
    <t>Provi Ajuste MO SVC Chillan [mes]</t>
  </si>
  <si>
    <t>Chile SVC ChillGoLive</t>
  </si>
  <si>
    <t>Provi MO - Administrativa SVC Chillan Go Live [mes]</t>
  </si>
  <si>
    <t>Provi MO - Operativa SVC Chillan Go Live [mes]</t>
  </si>
  <si>
    <t>Provi Servicio de Transporte SVC Chillan Go Live [mes]</t>
  </si>
  <si>
    <t>Provi Alimentación SVC Chillan Go Live [mes]</t>
  </si>
  <si>
    <t>Provi Ropa de Trabajo SVC Chillan Go Live [mes]</t>
  </si>
  <si>
    <t>Provi HabilitacionesSVC Chillan Go Live [mes]</t>
  </si>
  <si>
    <t>Provi HE SVC Chillan Go Live [mes]</t>
  </si>
  <si>
    <t>Provi Segurança (nuevo scope) SVC Chillan Go Live [mes]</t>
  </si>
  <si>
    <t>Provi Limpieza + EcoLogica SVC Chillan Go Live [mes]</t>
  </si>
  <si>
    <t>Provi Mantenimiento &amp; IT SVC Chillan Go Live [mes]</t>
  </si>
  <si>
    <t>Provi MHE SVC Chillan Go Live [mes]</t>
  </si>
  <si>
    <t>Provi InsumosSVC Chillan Go Live [mes]</t>
  </si>
  <si>
    <t>Provi Startup SVC Chillan Go Live [mes]</t>
  </si>
  <si>
    <t>Provi Inversiones SVC Chillan Go Live [mes]</t>
  </si>
  <si>
    <t>Provi Otros SVC Chillan Go Live [mes]</t>
  </si>
  <si>
    <t>Chile SVC Talca</t>
  </si>
  <si>
    <t>Provi MO - Administrativa SVC Talca [mes]</t>
  </si>
  <si>
    <t>Provi MO - Operativa SVC Talca [mes]</t>
  </si>
  <si>
    <t>Provi Servicio de Transporte SVC Talca [mes]</t>
  </si>
  <si>
    <t>Provi Alimentación SVC Talca [mes]</t>
  </si>
  <si>
    <t>Provi Ropa de Trabajo SVC Talca [mes]</t>
  </si>
  <si>
    <t>Provi HabilitacionesSVC Talca [mes]</t>
  </si>
  <si>
    <t>Provi HE SVC Talca [mes]</t>
  </si>
  <si>
    <t>Provi Segurança (nuevo scope) SVC Talca [mes]</t>
  </si>
  <si>
    <t>Provi Limpieza + EcoLogica SVC Talca [mes]</t>
  </si>
  <si>
    <t>Provi Mantenimiento &amp; IT SVC Talca [mes]</t>
  </si>
  <si>
    <t>Provi MHE SVC Talca [mes]</t>
  </si>
  <si>
    <t>Provi Insumos SVC Talca [mes]</t>
  </si>
  <si>
    <t>Provi Startup SVC Talca [mes]</t>
  </si>
  <si>
    <t>Provi Inversiones SVC Talca [mes]</t>
  </si>
  <si>
    <t>Provi Otros SVC Talca [mes]</t>
  </si>
  <si>
    <t>Provi Bonos Talca [mes]</t>
  </si>
  <si>
    <t>Provi Otros Costos de Ingreso Talca [mes]</t>
  </si>
  <si>
    <t xml:space="preserve">Seguro Covid  19 (Ley 21342)  </t>
  </si>
  <si>
    <t>Provi Ajuste MO Talca [mes]</t>
  </si>
  <si>
    <t>Provi Ajuste MO SVC Talca [mes]</t>
  </si>
  <si>
    <t>Talce SVC TalclGoLive</t>
  </si>
  <si>
    <t>Provi MO - Administrativa SVC Talca Go Live [mes]</t>
  </si>
  <si>
    <t>Provi MO - Operativa SVC Talca Go Live [mes]</t>
  </si>
  <si>
    <t>Provi Servicio de Transporte SVC Talca Go Live [mes]</t>
  </si>
  <si>
    <t>Provi Alimentación SVC Talca Go Live [mes]</t>
  </si>
  <si>
    <t>Provi Ropa de Trabajo SVC Talca Go Live [mes]</t>
  </si>
  <si>
    <t>Provi HabilitacionesSVC Talca Go Live [mes]</t>
  </si>
  <si>
    <t>Provi HE SVC Talca Go Live [mes]</t>
  </si>
  <si>
    <t>Provi Segurança (nuevo scope) SVC Talca Go Live [mes]</t>
  </si>
  <si>
    <t>Provi Limpieza + EcoLogica SVC Talca Go Live [mes]</t>
  </si>
  <si>
    <t>Provi Mantenimiento &amp; IT SVC Talca Go Live [mes]</t>
  </si>
  <si>
    <t>Provi MHE SVC Talca Go Live [mes]</t>
  </si>
  <si>
    <t>Provi InsumosSVC Talca Go Live [mes]</t>
  </si>
  <si>
    <t>Provi Startup SVC Talca Go Live [mes]</t>
  </si>
  <si>
    <t>Provi Inversiones SVC Talca Go Live [mes]</t>
  </si>
  <si>
    <t>Provi Otros SVC Talca Go Live [mes]</t>
  </si>
  <si>
    <t>Chile SVC Puerto Montt</t>
  </si>
  <si>
    <t>Provi MO - Administrativa SVC Puerto Montt [mes]</t>
  </si>
  <si>
    <t>Provi MO - Operativa SVC Puerto Montt [mes]</t>
  </si>
  <si>
    <t>Provi Servicio de Transporte SVC Puerto Montt [mes]</t>
  </si>
  <si>
    <t>Provi Alimentación SVC Puerto Montt [mes]</t>
  </si>
  <si>
    <t>Provi Ropa de Trabajo SVC Puerto Montt [mes]</t>
  </si>
  <si>
    <t>Provi HabilitacionesSVC Puerto Montt [mes]</t>
  </si>
  <si>
    <t>Provi HE SVC Puerto Montt [mes]</t>
  </si>
  <si>
    <t>Provi Segurança (nuevo scope) SVC Puerto Montt [mes]</t>
  </si>
  <si>
    <t>Provi Limpieza + EcoLogica SVC Puerto Montt [mes]</t>
  </si>
  <si>
    <t>Provi Mantenimiento &amp; IT SVC Puerto Montt [mes]</t>
  </si>
  <si>
    <t>Provi MHE SVC Puerto Montt [mes]</t>
  </si>
  <si>
    <t>Provi Insumos SVC Puerto Montt [mes]</t>
  </si>
  <si>
    <t>Provi Startup SVC Puerto Montt [mes]</t>
  </si>
  <si>
    <t>Provi Inversiones SVC Puerto Montt [mes]</t>
  </si>
  <si>
    <t>Provi Otros SVC Puerto Montt [mes]</t>
  </si>
  <si>
    <t>Provi Bonos Puerto Montt [mes]</t>
  </si>
  <si>
    <t>Provi Otros Costos de Ingreso Puerto Montt [mes]</t>
  </si>
  <si>
    <t>Provi Ajuste MO Puerto Montt [mes]</t>
  </si>
  <si>
    <t>Provi Ajuste MO SVC Puerto Montt [mes]</t>
  </si>
  <si>
    <t>Puerte SVC PuertlGoLive</t>
  </si>
  <si>
    <t>Provi MO - Administrativa SVC Puerto Montt Go Live [mes]</t>
  </si>
  <si>
    <t>Provi MO - Operativa SVC Puerto Montt Go Live [mes]</t>
  </si>
  <si>
    <t>Provi Servicio de Transporte SVC Puerto Montt Go Live [mes]</t>
  </si>
  <si>
    <t>Provi Alimentación SVC Puerto Montt Go Live [mes]</t>
  </si>
  <si>
    <t>Provi Ropa de Trabajo SVC Puerto Montt Go Live [mes]</t>
  </si>
  <si>
    <t>Provi HabilitacionesSVC Puerto Montt Go Live [mes]</t>
  </si>
  <si>
    <t>Provi HE SVC Puerto Montt Go Live [mes]</t>
  </si>
  <si>
    <t>Provi Segurança (nuevo scope) SVC Puerto Montt Go Live [mes]</t>
  </si>
  <si>
    <t>Provi Limpieza + EcoLogica SVC Puerto Montt Go Live [mes]</t>
  </si>
  <si>
    <t>Provi Mantenimiento &amp; IT SVC Puerto Montt Go Live [mes]</t>
  </si>
  <si>
    <t>Provi MHE SVC Puerto Montt Go Live [mes]</t>
  </si>
  <si>
    <t>Provi InsumosSVC Puerto Montt Go Live [mes]</t>
  </si>
  <si>
    <t>Provi Startup SVC Puerto Montt Go Live [mes]</t>
  </si>
  <si>
    <t>Provi Inversiones SVC Puerto Montt Go Live [mes]</t>
  </si>
  <si>
    <t>Provi Otros SVC Puerto Montt Go Live [mes]</t>
  </si>
  <si>
    <t>Provi Labour Covid FBM Colina [mes]</t>
  </si>
  <si>
    <t>Provi Ajuste MO FBM Colina [mes]</t>
  </si>
  <si>
    <t>Provi Labour Covid Chile XD [mes]</t>
  </si>
  <si>
    <t>Descuento Tarifa PartTime</t>
  </si>
  <si>
    <t>Provi Labour Covid SVC Coquimbo [mes]</t>
  </si>
  <si>
    <t>Provi Ajuste MO SVC Coquimbo [mes]</t>
  </si>
  <si>
    <t>Provi Labour Covid SVC Concepcion [mes]</t>
  </si>
  <si>
    <t>Provi Ajuste MO SVC Concepcion [mes]</t>
  </si>
  <si>
    <t>Argentina SVC La Plata</t>
  </si>
  <si>
    <t>Provi Mano de Obra tercerizada  SVC La Plata</t>
  </si>
  <si>
    <t>Provi Margen   SVC La Plata</t>
  </si>
  <si>
    <t>Provi Seguridad  SVC La Plata</t>
  </si>
  <si>
    <t>Provi Limpieza  SVC La Plata</t>
  </si>
  <si>
    <t>Provi Reparaciones y Mantenimiento  SVC La Plata</t>
  </si>
  <si>
    <t>Provi Warehousing  SVC La Plata</t>
  </si>
  <si>
    <t>Provi Insumos  SVC La Plata</t>
  </si>
  <si>
    <t>Provi Alquiler equipos  SVC La Plata</t>
  </si>
  <si>
    <t>Provi Otros  SVC La Plata</t>
  </si>
  <si>
    <t>Provi Packaging  SVC La Plata</t>
  </si>
  <si>
    <t>Provi SHE  SVC La Plata</t>
  </si>
  <si>
    <t>Provi Alquiler Equipos  SVC La Plata</t>
  </si>
  <si>
    <t>Provi Costos COVID Shipp WH  SVC La Plata</t>
  </si>
  <si>
    <t>Provi Uniformes  SVC La Plata</t>
  </si>
  <si>
    <t>Argentina SVC Cordoba</t>
  </si>
  <si>
    <t>Costo Laboral (612105)</t>
  </si>
  <si>
    <t>Costo Laboral</t>
  </si>
  <si>
    <t>Provi. Mano de obra tercerizada SVC Cordoba [mes]</t>
  </si>
  <si>
    <t>Mark Up Costo Laboral (512901)</t>
  </si>
  <si>
    <t>Markup Costo Laboral</t>
  </si>
  <si>
    <t>Seguridad (512908)</t>
  </si>
  <si>
    <t>Limpieza (512909)</t>
  </si>
  <si>
    <t>Uniformes (512904)</t>
  </si>
  <si>
    <t>Provi. Horas Extras SVC Cordoba [mes]</t>
  </si>
  <si>
    <t>Librería y Cafetería (512985)</t>
  </si>
  <si>
    <t>Librería y Cafetería</t>
  </si>
  <si>
    <t>Provi. Alimentación SVC Cordoba [mes]</t>
  </si>
  <si>
    <t>Mantenimiento (512883)</t>
  </si>
  <si>
    <t>Provi. SHE SVC Cordoba [mes]</t>
  </si>
  <si>
    <t>Otros (512885)</t>
  </si>
  <si>
    <t>Provi. Costos COVID Shipp WH SVC Cordoba [mes]</t>
  </si>
  <si>
    <t xml:space="preserve">Mark Up Gastos Directos (512901) </t>
  </si>
  <si>
    <t>Markup Costo Gastos Directos</t>
  </si>
  <si>
    <t>Provi. Seguridad SVC Cordoba [mes]</t>
  </si>
  <si>
    <t>Colombia SVC Ibague</t>
  </si>
  <si>
    <t>Provi Margen DHL SVC Ibague [mes]</t>
  </si>
  <si>
    <t>Provi Alquiler equipos SVC Ibague [mes]</t>
  </si>
  <si>
    <t>Provi Mantenimiento equipos SVC Ibague [mes]</t>
  </si>
  <si>
    <t>Provi Depreciación equipos SVC Ibague [mes]</t>
  </si>
  <si>
    <t>Provi Transporte sobrecosto covid19 SVC Ibague [mes]</t>
  </si>
  <si>
    <t>Provi Insumos sobrecosto covid19 SVC Ibague [mes]</t>
  </si>
  <si>
    <t>Provi Servicios sobrecosto covid19 SVC Ibague [mes]</t>
  </si>
  <si>
    <t>Provi Devolución Fee SVC Ibague [mes]</t>
  </si>
  <si>
    <t>Provi Devolución Reciclaje SVC Ibague [mes]</t>
  </si>
  <si>
    <t>Provi Alimentación SVC Ibague [mes]</t>
  </si>
  <si>
    <t>Chile SVC Copiapo</t>
  </si>
  <si>
    <t>Provi MO - Administrativa SVC Copiapo [mes]</t>
  </si>
  <si>
    <t>Provi MO - Operativa SVC Copiapo [mes]</t>
  </si>
  <si>
    <t>Provi Servicio de Transporte SVC Copiapo [mes]</t>
  </si>
  <si>
    <t>Provi Alimentación SVC Copiapo [mes]</t>
  </si>
  <si>
    <t>Provi Ropa de Trabajo SVC Copiapo [mes]</t>
  </si>
  <si>
    <t>Provi HabilitacionesSVC Copiapo [mes]</t>
  </si>
  <si>
    <t>Provi HE SVC Copiapo [mes]</t>
  </si>
  <si>
    <t>Provi Segurança (nuevo scope) SVC Copiapo [mes]</t>
  </si>
  <si>
    <t>Provi Limpieza + EcoLogica SVC Copiapo [mes]</t>
  </si>
  <si>
    <t>Provi Mantenimiento &amp; IT SVC Copiapo [mes]</t>
  </si>
  <si>
    <t>Provi MHE SVC Copiapo [mes]</t>
  </si>
  <si>
    <t>Provi Insumos SVC Copiapo [mes]</t>
  </si>
  <si>
    <t>Provi Startup SVC Copiapo [mes]</t>
  </si>
  <si>
    <t>Provi Inversiones SVC Copiapo [mes]</t>
  </si>
  <si>
    <t>Provi Otros SVC Copiapo [mes]</t>
  </si>
  <si>
    <t>Provi Bonos Copiapo [mes]</t>
  </si>
  <si>
    <t>Provi Otros Costos de Ingreso Copiapo [mes]</t>
  </si>
  <si>
    <t>Provi Ajuste MO Copiapo [mes]</t>
  </si>
  <si>
    <t>Provi Ajuste MO SVC Copiapo [mes]</t>
  </si>
  <si>
    <t>Chile SVC CopiGoLive</t>
  </si>
  <si>
    <t>Provi MO - Administrativa SVC Copiapo Go Live [mes]</t>
  </si>
  <si>
    <t>Provi MO - Operativa SVC Copiapo Go Live [mes]</t>
  </si>
  <si>
    <t>Provi Servicio de Transporte SVC Copiapo Go Live [mes]</t>
  </si>
  <si>
    <t>Provi Alimentación SVC Copiapo Go Live [mes]</t>
  </si>
  <si>
    <t>Provi Ropa de Trabajo SVC Copiapo Go Live [mes]</t>
  </si>
  <si>
    <t>Provi HabilitacionesSVC Copiapo Go Live [mes]</t>
  </si>
  <si>
    <t>Provi HE SVC Copiapo Go Live [mes]</t>
  </si>
  <si>
    <t>Provi Segurança (nuevo scope) SVC Copiapo Go Live [mes]</t>
  </si>
  <si>
    <t>Provi Limpieza + EcoLogica SVC Copiapo Go Live [mes]</t>
  </si>
  <si>
    <t>Provi Mantenimiento &amp; IT SVC Copiapo Go Live [mes]</t>
  </si>
  <si>
    <t>Provi MHE SVC Copiapo Go Live [mes]</t>
  </si>
  <si>
    <t>Provi InsumosSVC Copiapo Go Live [mes]</t>
  </si>
  <si>
    <t>Provi Startup SVC Copiapo Go Live [mes]</t>
  </si>
  <si>
    <t>Provi Inversiones SVC Copiapo Go Live [mes]</t>
  </si>
  <si>
    <t>Provi Otros SVC Copiapo Go Live [mes]</t>
  </si>
  <si>
    <t>Bono Cyber Day octubre</t>
  </si>
  <si>
    <t>Colombia SVC Burcaramanga</t>
  </si>
  <si>
    <t>Provi Margen DHL SVC Burcaramanga [mes]</t>
  </si>
  <si>
    <t>Provi Alquiler equipos SVC Burcaramanga [mes]</t>
  </si>
  <si>
    <t>Provi Mantenimiento equipos SVC Burcaramanga [mes]</t>
  </si>
  <si>
    <t>Provi Depreciación equipos SVC Burcaramanga [mes]</t>
  </si>
  <si>
    <t>Provi Transporte sobrecosto covid19 SVC Burcaramanga [mes]</t>
  </si>
  <si>
    <t>Provi Insumos sobrecosto covid19 SVC Burcaramanga [mes]</t>
  </si>
  <si>
    <t>Provi Servicios sobrecosto covid19 SVC Burcaramanga [mes]</t>
  </si>
  <si>
    <t>Provi Devolución Fee SVC Burcaramanga [mes]</t>
  </si>
  <si>
    <t>Provi Devolución Reciclaje SVC Burcaramanga [mes]</t>
  </si>
  <si>
    <t>Provi Alimentación SVC Burcaramanga [mes]</t>
  </si>
  <si>
    <t>Chile SVC Temuco</t>
  </si>
  <si>
    <t>Provi MO - Administrativa SVC Temuco [mes]</t>
  </si>
  <si>
    <t>Provi MO - Operativa SVC Temuco [mes]</t>
  </si>
  <si>
    <t>Provi Servicio de Transporte SVC Temuco [mes]</t>
  </si>
  <si>
    <t>Provi Alimentación SVC Temuco [mes]</t>
  </si>
  <si>
    <t>Provi Ropa de Trabajo SVC Temuco [mes]</t>
  </si>
  <si>
    <t>Provi HabilitacionesSVC Temuco [mes]</t>
  </si>
  <si>
    <t>Provi HE SVC Temuco [mes]</t>
  </si>
  <si>
    <t>Provi Segurança (nuevo scope) SVC Temuco [mes]</t>
  </si>
  <si>
    <t>Provi Limpieza + EcoLogica SVC Temuco [mes]</t>
  </si>
  <si>
    <t>Provi Mantenimiento &amp; IT SVC Temuco [mes]</t>
  </si>
  <si>
    <t>Provi MHE SVC Temuco [mes]</t>
  </si>
  <si>
    <t>Provi Insumos SVC Temuco [mes]</t>
  </si>
  <si>
    <t>Provi Startup SVC Temuco [mes]</t>
  </si>
  <si>
    <t>Provi Inversiones SVC Temuco [mes]</t>
  </si>
  <si>
    <t>Provi Otros SVC Temuco [mes]</t>
  </si>
  <si>
    <t>Provi Bonos Temuco [mes]</t>
  </si>
  <si>
    <t>Provi Otros Costos de Ingreso Temuco [mes]</t>
  </si>
  <si>
    <t>Provi Labour Covid Temuco [mes]</t>
  </si>
  <si>
    <t>Provi Ajuste MO SVC Temuco [mes]</t>
  </si>
  <si>
    <t>Chile SVC TemGolive</t>
  </si>
  <si>
    <t>Provi MO - Administrativa SVC Temuco GoLive [mes]</t>
  </si>
  <si>
    <t>Provi MO - Operativa SVC Temuco GoLive [mes]</t>
  </si>
  <si>
    <t>Provi Servicio de Transporte SVC Temuco GoLive [mes]</t>
  </si>
  <si>
    <t>Provi Alimentación SVC Temuco GoLive [mes]</t>
  </si>
  <si>
    <t>Provi Ropa de Trabajo SVC Temuco GoLive [mes]</t>
  </si>
  <si>
    <t>Provi HabilitacionesSVC Temuco GoLive [mes]</t>
  </si>
  <si>
    <t>Provi HE SVC Temuco GoLive [mes]</t>
  </si>
  <si>
    <t>Provi Segurança (nuevo scope) SVC Temuco GoLive [mes]</t>
  </si>
  <si>
    <t>Provi Limpieza + EcoLogica SVC Temuco GoLive [mes]</t>
  </si>
  <si>
    <t>Provi Mantenimiento &amp; IT SVC Temuco GoLive [mes]</t>
  </si>
  <si>
    <t>Provi MHE SVC Temuco GoLive [mes]</t>
  </si>
  <si>
    <t>Provi Insumos SVC Temuco GoLive [mes]</t>
  </si>
  <si>
    <t>Provi Startup SVC Temuco GoLive [mes]</t>
  </si>
  <si>
    <t>Provi Inversiones SVC Temuco GoLive [mes]</t>
  </si>
  <si>
    <t>Provi Otros SVC Temuco GoLive [mes]</t>
  </si>
  <si>
    <t>Provi Bonos Temuco GoLive [mes]</t>
  </si>
  <si>
    <t>Provi Otros Costos de Ingreso Temuco GoLive [mes]</t>
  </si>
  <si>
    <t>Provi Labour Covid Temuco GoLive [mes]</t>
  </si>
  <si>
    <t>Provi Ajuste MO SVC Temuco GoLive [mes]</t>
  </si>
  <si>
    <t>Chile SVC Los Angeles</t>
  </si>
  <si>
    <t>Provi MO - Administrativa SVC Los Angeles [mes]</t>
  </si>
  <si>
    <t>Provi MO - Operativa SVC Los Angeles [mes]</t>
  </si>
  <si>
    <t>Provi Servicio de Transporte SVC Los Angeles [mes]</t>
  </si>
  <si>
    <t>Provi Alimentación SVC Los Angeles [mes]</t>
  </si>
  <si>
    <t>Provi Ropa de Trabajo SVC Los Angeles [mes]</t>
  </si>
  <si>
    <t>Provi HabilitacionesSVC Los Angeles [mes]</t>
  </si>
  <si>
    <t>Provi HE SVC Los Angeles [mes]</t>
  </si>
  <si>
    <t>Provi Segurança (nuevo scope) SVC Los Angeles [mes]</t>
  </si>
  <si>
    <t>Provi Limpieza + EcoLogica SVC Los Angeles [mes]</t>
  </si>
  <si>
    <t>Provi Mantenimiento &amp; IT SVC Los Angeles [mes]</t>
  </si>
  <si>
    <t>Provi MHE SVC Los Angeles [mes]</t>
  </si>
  <si>
    <t>Provi Insumos SVC Los Angeles [mes]</t>
  </si>
  <si>
    <t>Provi Startup SVC Los Angeles [mes]</t>
  </si>
  <si>
    <t>Provi Inversiones SVC Los Angeles [mes]</t>
  </si>
  <si>
    <t>Provi Otros SVC Los Angeles [mes]</t>
  </si>
  <si>
    <t>Provi Bonos Los Angeles [mes]</t>
  </si>
  <si>
    <t>Provi Otros Costos de Ingreso Los Angeles [mes]</t>
  </si>
  <si>
    <t>Provi Labour Covid Los Angeles [mes]</t>
  </si>
  <si>
    <t>Provi Ajuste MO SVC Los Angeles [mes]</t>
  </si>
  <si>
    <t>Chile SVC Viña del Mar</t>
  </si>
  <si>
    <t>Provi MO - Administrativa SVC Viña del Mar [mes]</t>
  </si>
  <si>
    <t>Provi MO - Operativa SVC Viña del Mar [mes]</t>
  </si>
  <si>
    <t>Provi Servicio de Transporte SVC Viña del Mar [mes]</t>
  </si>
  <si>
    <t>Provi Alimentación SVC Viña del Mar [mes]</t>
  </si>
  <si>
    <t>Provi Ropa de Trabajo SVC Viña del Mar [mes]</t>
  </si>
  <si>
    <t>Provi HabilitacionesSVC Viña del Mar [mes]</t>
  </si>
  <si>
    <t>Provi HE SVC Viña del Mar [mes]</t>
  </si>
  <si>
    <t>Provi Segurança (nuevo scope) SVC Viña del Mar [mes]</t>
  </si>
  <si>
    <t>Provi Limpieza + EcoLogica SVC Viña del Mar [mes]</t>
  </si>
  <si>
    <t>Provi Mantenimiento &amp; IT SVC Viña del Mar [mes]</t>
  </si>
  <si>
    <t>Provi MHE SVC Viña del Mar [mes]</t>
  </si>
  <si>
    <t>Provi Insumos SVC Viña del Mar [mes]</t>
  </si>
  <si>
    <t>Provi Startup SVC Viña del Mar [mes]</t>
  </si>
  <si>
    <t>Provi Inversiones SVC Viña del Mar [mes]</t>
  </si>
  <si>
    <t>Provi Otros SVC Viña del Mar [mes]</t>
  </si>
  <si>
    <t>Provi Bonos Viña del Mar [mes]</t>
  </si>
  <si>
    <t>Provi Otros Costos de Ingreso Viña del Mar [mes]</t>
  </si>
  <si>
    <t>Provi Labour Covid Viña del Mar [mes]</t>
  </si>
  <si>
    <t>Provi Ajuste MO SVC Viña del Mar [mes]</t>
  </si>
  <si>
    <t>Chile SVC ViñaGoLive</t>
  </si>
  <si>
    <t>Provi MO - Administrativa SVC ViñaGoLive [mes]</t>
  </si>
  <si>
    <t>Provi MO - Operativa SVC ViñaGoLive [mes]</t>
  </si>
  <si>
    <t>Provi Servicio de Transporte SVC ViñaGoLive [mes]</t>
  </si>
  <si>
    <t>Provi Alimentación SVC ViñaGoLive [mes]</t>
  </si>
  <si>
    <t>Provi Ropa de Trabajo SVC ViñaGoLive [mes]</t>
  </si>
  <si>
    <t>Provi HabilitacionesSVC ViñaGoLive [mes]</t>
  </si>
  <si>
    <t>Provi HE SVC ViñaGoLive [mes]</t>
  </si>
  <si>
    <t>Provi Segurança (nuevo scope) SVC ViñaGoLive [mes]</t>
  </si>
  <si>
    <t>Provi Limpieza + EcoLogica SVC ViñaGoLive [mes]</t>
  </si>
  <si>
    <t>Provi Mantenimiento &amp; IT SVC ViñaGoLive [mes]</t>
  </si>
  <si>
    <t>Provi MHE SVC ViñaGoLive [mes]</t>
  </si>
  <si>
    <t>Provi Insumos SVC ViñaGoLive [mes]</t>
  </si>
  <si>
    <t>Provi Startup SVC ViñaGoLive [mes]</t>
  </si>
  <si>
    <t>Provi Inversiones SVC ViñaGoLive [mes]</t>
  </si>
  <si>
    <t>Provi Otros SVC ViñaGoLive [mes]</t>
  </si>
  <si>
    <t>Provi Bonos ViñaGoLive [mes]</t>
  </si>
  <si>
    <t>Provi Otros Costos de Ingreso ViñaGoLive [mes]</t>
  </si>
  <si>
    <t>Provi Labour Covid ViñaGoLive [mes]</t>
  </si>
  <si>
    <t>Provi Ajuste MO SVC ViñaGoLive [mes]</t>
  </si>
  <si>
    <t>Colombia SVC Barranquilla</t>
  </si>
  <si>
    <t>Fee  Operations</t>
  </si>
  <si>
    <t>Margen Link</t>
  </si>
  <si>
    <t>Colombia SVC Cartagena</t>
  </si>
  <si>
    <t>Argentina SVC Rosario</t>
  </si>
  <si>
    <t>Argentina XD Rosario</t>
  </si>
  <si>
    <t>Chile XD Rancagua</t>
  </si>
  <si>
    <t>Provi MO - Administrativa XD Rancagua [mes]</t>
  </si>
  <si>
    <t>Provi MO - Operativa XD Rancagua [mes]</t>
  </si>
  <si>
    <t>Provi Servicio de Transporte XD Rancagua [mes]</t>
  </si>
  <si>
    <t>Provi Alimentación XD Rancagua [mes]</t>
  </si>
  <si>
    <t>Provi Ropa de Trabajo XD Rancagua [mes]</t>
  </si>
  <si>
    <t>Provi Habilitaciones XD Rancagua [mes]</t>
  </si>
  <si>
    <t>Provi HE XD Rancagua [mes]</t>
  </si>
  <si>
    <t>Provi Segurança (nuevo scope) XD Rancagua [mes]</t>
  </si>
  <si>
    <t>Provi Limpieza + EcoLogica XD Rancagua [mes]</t>
  </si>
  <si>
    <t>Provi Mantenimiento &amp; IT XD Rancagua [mes]</t>
  </si>
  <si>
    <t>Provi MHE XD Rancagua [mes]</t>
  </si>
  <si>
    <t>Provi Insumos XD Rancagua [mes]</t>
  </si>
  <si>
    <t>Provi Startup XD Rancagua [mes]</t>
  </si>
  <si>
    <t>Provi Inversiones XD Rancagua [mes]</t>
  </si>
  <si>
    <t>Provi Otros XD Rancagua [mes]</t>
  </si>
  <si>
    <t>Provi Bonos Chile XD Rancagua [mes]</t>
  </si>
  <si>
    <t>Provi Otros Costos de Ingreso Chile XD Rancagua [mes]</t>
  </si>
  <si>
    <t>Provi Labour Covid Chile XD Rancagua [mes]</t>
  </si>
  <si>
    <t>Chile XD Concepcion</t>
  </si>
  <si>
    <t>Provi MO - Administrativa XD Concepcion [mes]</t>
  </si>
  <si>
    <t>Provi MO - Operativa XD Concepcion [mes]</t>
  </si>
  <si>
    <t>Provi Servicio de Transporte XD Concepcion [mes]</t>
  </si>
  <si>
    <t>Provi Alimentación XD Concepcion [mes]</t>
  </si>
  <si>
    <t>Provi Ropa de Trabajo XD Concepcion [mes]</t>
  </si>
  <si>
    <t>Provi Habilitaciones XD Concepcion [mes]</t>
  </si>
  <si>
    <t>Provi HE XD Concepcion [mes]</t>
  </si>
  <si>
    <t>Provi Segurança (nuevo scope) XD Concepcion [mes]</t>
  </si>
  <si>
    <t>Provi Limpieza + EcoLogica XD Concepcion [mes]</t>
  </si>
  <si>
    <t>Provi Mantenimiento &amp; IT XD Concepcion [mes]</t>
  </si>
  <si>
    <t>Provi MHE XD Concepcion [mes]</t>
  </si>
  <si>
    <t>Provi Insumos XD Concepcion [mes]</t>
  </si>
  <si>
    <t>Provi Startup XD Concepcion [mes]</t>
  </si>
  <si>
    <t>Provi Inversiones XD Concepcion [mes]</t>
  </si>
  <si>
    <t>Provi Otros XD Concepcion [mes]</t>
  </si>
  <si>
    <t>Provi Bonos Chile XD Concepcion [mes]</t>
  </si>
  <si>
    <t>Provi Otros Costos de Ingreso Chile XD Concepcion [mes]</t>
  </si>
  <si>
    <t>Provi Labour Covid Chile XD Concepcion [mes]</t>
  </si>
  <si>
    <t>Chile XD Talca</t>
  </si>
  <si>
    <t>Provi MO - Administrativa XD Talca [mes]</t>
  </si>
  <si>
    <t>Provi MO - Operativa XD Talca [mes]</t>
  </si>
  <si>
    <t>Provi Servicio de Transporte XD Talca [mes]</t>
  </si>
  <si>
    <t>Provi Alimentación XD Talca [mes]</t>
  </si>
  <si>
    <t>Provi Ropa de Trabajo XD Talca [mes]</t>
  </si>
  <si>
    <t>Provi Habilitaciones XD Talca [mes]</t>
  </si>
  <si>
    <t>Provi HE XD Talca [mes]</t>
  </si>
  <si>
    <t>Provi Segurança (nuevo scope) XD Talca [mes]</t>
  </si>
  <si>
    <t>Provi Limpieza + EcoLogica XD Talca [mes]</t>
  </si>
  <si>
    <t>Provi Mantenimiento &amp; IT XD Talca [mes]</t>
  </si>
  <si>
    <t>Provi MHE XD Talca [mes]</t>
  </si>
  <si>
    <t>Provi Insumos XD Talca [mes]</t>
  </si>
  <si>
    <t>Provi Startup XD Talca [mes]</t>
  </si>
  <si>
    <t>Provi Inversiones XD Talca [mes]</t>
  </si>
  <si>
    <t>Provi Otros XD Talca [mes]</t>
  </si>
  <si>
    <t>Provi Bonos Chile XD Talca [mes]</t>
  </si>
  <si>
    <t>Provi Otros Costos de Ingreso Chile XD Talca [mes]</t>
  </si>
  <si>
    <t>Provi Labour Covid Chile XD Talca [mes]</t>
  </si>
  <si>
    <t>Chile XD Temuco</t>
  </si>
  <si>
    <t>Provi MO - Administrativa XD Temuco [mes]</t>
  </si>
  <si>
    <t>Provi MO - Operativa XD Temuco [mes]</t>
  </si>
  <si>
    <t>Provi Servicio de Transporte XD Temuco [mes]</t>
  </si>
  <si>
    <t>Provi Alimentación XD Temuco [mes]</t>
  </si>
  <si>
    <t>Provi Ropa de Trabajo XD Temuco [mes]</t>
  </si>
  <si>
    <t>Provi Habilitaciones XD Temuco [mes]</t>
  </si>
  <si>
    <t>Provi HE XD Temuco [mes]</t>
  </si>
  <si>
    <t>Provi Segurança (nuevo scope) XD Temuco [mes]</t>
  </si>
  <si>
    <t>Provi Limpieza + EcoLogica XD Temuco [mes]</t>
  </si>
  <si>
    <t>Provi Mantenimiento &amp; IT XD Temuco [mes]</t>
  </si>
  <si>
    <t>Provi MHE XD Temuco [mes]</t>
  </si>
  <si>
    <t>Provi Insumos XD Temuco [mes]</t>
  </si>
  <si>
    <t>Provi Startup XD Temuco [mes]</t>
  </si>
  <si>
    <t>Provi Inversiones XD Temuco [mes]</t>
  </si>
  <si>
    <t>Provi Otros XD Temuco [mes]</t>
  </si>
  <si>
    <t>Provi Bonos Chile XD Temuco [mes]</t>
  </si>
  <si>
    <t>Provi Otros Costos de Ingreso Chile XD Temuco [mes]</t>
  </si>
  <si>
    <t>Provi Labour Covid Chile XD Temuco [mes]</t>
  </si>
  <si>
    <t>Chile SVC Vallenar</t>
  </si>
  <si>
    <t>Provi MO - Administrativa SVC Vallenar [mes]</t>
  </si>
  <si>
    <t>Provi MO - Operativa SVC Vallenar [mes]</t>
  </si>
  <si>
    <t>Provi Servicio de Transporte SVC Vallenar [mes]</t>
  </si>
  <si>
    <t>Provi Alimentación SVC Vallenar [mes]</t>
  </si>
  <si>
    <t>Provi Ropa de Trabajo SVC Vallenar [mes]</t>
  </si>
  <si>
    <t>Provi HabilitacionesSVC Vallenar [mes]</t>
  </si>
  <si>
    <t>Provi HE SVC Vallenar [mes]</t>
  </si>
  <si>
    <t>Provi Segurança (nuevo scope) SVC Vallenar [mes]</t>
  </si>
  <si>
    <t>Provi Limpieza + EcoLogica SVC Vallenar [mes]</t>
  </si>
  <si>
    <t>Provi Mantenimiento &amp; IT SVC Vallenar [mes]</t>
  </si>
  <si>
    <t>Provi MHE SVC Vallenar [mes]</t>
  </si>
  <si>
    <t>Provi InsumosSVC Vallenar [mes]</t>
  </si>
  <si>
    <t>Provi Startup SVC Vallenar [mes]</t>
  </si>
  <si>
    <t>Provi Labour Covid SVC Vallenar [mes]</t>
  </si>
  <si>
    <t>Provi Inversiones SVC Vallenar [mes]</t>
  </si>
  <si>
    <t>Provi Otros SVC Vallenar [mes]</t>
  </si>
  <si>
    <t>Chile SVC Los Andes</t>
  </si>
  <si>
    <t>Provi MO - Administrativa SVC Los Andes [mes]</t>
  </si>
  <si>
    <t>Provi MO - Operativa SVC Los Andes [mes]</t>
  </si>
  <si>
    <t>Provi Servicio de Transporte SVC Los Andes [mes]</t>
  </si>
  <si>
    <t>Provi Alimentación SVC Los Andes [mes]</t>
  </si>
  <si>
    <t>Provi Ropa de Trabajo SVC Los Andes [mes]</t>
  </si>
  <si>
    <t>Provi HabilitacionesSVC Los Andes [mes]</t>
  </si>
  <si>
    <t>Provi HE SVC Los Andes [mes]</t>
  </si>
  <si>
    <t>Provi Segurança (nuevo scope) SVC Los Andes [mes]</t>
  </si>
  <si>
    <t>Provi Limpieza + EcoLogica SVC Los Andes [mes]</t>
  </si>
  <si>
    <t>Provi Mantenimiento &amp; IT SVC Los Andes [mes]</t>
  </si>
  <si>
    <t>Provi MHE SVC Los Andes [mes]</t>
  </si>
  <si>
    <t>Provi InsumosSVC Los Andes [mes]</t>
  </si>
  <si>
    <t>Provi Startup SVC Los Andes [mes]</t>
  </si>
  <si>
    <t>Provi Labour Covid SVC Los Andes [mes]</t>
  </si>
  <si>
    <t>Provi Inversiones SVC Los Andes [mes]</t>
  </si>
  <si>
    <t>Provi Otros SVC Los Andes [mes]</t>
  </si>
  <si>
    <t>Chile SVC Valdivia</t>
  </si>
  <si>
    <t>Provi MO - Administrativa SVC Valdivia [mes]</t>
  </si>
  <si>
    <t>Provi MO - Operativa SVC Valdivia [mes]</t>
  </si>
  <si>
    <t>Provi Servicio de Transporte SVC Valdivia [mes]</t>
  </si>
  <si>
    <t>Provi Alimentación SVC Valdivia [mes]</t>
  </si>
  <si>
    <t>Provi Ropa de Trabajo SVC Valdivia [mes]</t>
  </si>
  <si>
    <t>Provi HabilitacionesSVC Valdivia [mes]</t>
  </si>
  <si>
    <t>Provi HE SVC Valdivia [mes]</t>
  </si>
  <si>
    <t>Provi Segurança (nuevo scope) SVC Valdivia [mes]</t>
  </si>
  <si>
    <t>Provi Limpieza + EcoLogica SVC Valdivia [mes]</t>
  </si>
  <si>
    <t>Provi Mantenimiento &amp; IT SVC Valdivia [mes]</t>
  </si>
  <si>
    <t>Provi MHE SVC Valdivia [mes]</t>
  </si>
  <si>
    <t>Provi InsumosSVC Valdivia [mes]</t>
  </si>
  <si>
    <t>Provi Startup SVC Valdivia [mes]</t>
  </si>
  <si>
    <t>Provi Labour Covid SVC Valdivia [mes]</t>
  </si>
  <si>
    <t>Provi Inversiones SVC Valdivia [mes]</t>
  </si>
  <si>
    <t>Provi Otros SVC Valdivia [mes]</t>
  </si>
  <si>
    <t>Chile SVC Osorno</t>
  </si>
  <si>
    <t>Provi MO - Administrativa SVC Osorno [mes]</t>
  </si>
  <si>
    <t>Provi MO - Operativa SVC Osorno [mes]</t>
  </si>
  <si>
    <t>Provi Servicio de Transporte SVC Osorno [mes]</t>
  </si>
  <si>
    <t>Provi Alimentación SVC Osorno [mes]</t>
  </si>
  <si>
    <t>Provi Ropa de Trabajo SVC Osorno [mes]</t>
  </si>
  <si>
    <t>Provi HabilitacionesSVC Osorno [mes]</t>
  </si>
  <si>
    <t>Provi HE SVC Osorno [mes]</t>
  </si>
  <si>
    <t>Provi Segurança (nuevo scope) SVC Osorno [mes]</t>
  </si>
  <si>
    <t>Provi Limpieza + EcoLogica SVC Osorno [mes]</t>
  </si>
  <si>
    <t>Provi Mantenimiento &amp; IT SVC Osorno [mes]</t>
  </si>
  <si>
    <t>Provi MHE SVC Osorno [mes]</t>
  </si>
  <si>
    <t>Provi InsumosSVC Osorno [mes]</t>
  </si>
  <si>
    <t>Provi Startup SVC Osorno [mes]</t>
  </si>
  <si>
    <t>Provi Labour Covid SVC Osorno [mes]</t>
  </si>
  <si>
    <t>Provi Inversiones SVC Osorno [mes]</t>
  </si>
  <si>
    <t>Provi Otros SVC Osorno [mes]</t>
  </si>
  <si>
    <t>Colombia SVC Funza</t>
  </si>
  <si>
    <t>Provi Margen DHL SVC Funza [mes]</t>
  </si>
  <si>
    <t>Provi Alquiler equipos SVC Funza [mes]</t>
  </si>
  <si>
    <t>Provi Mantenimiento equipos SVC Funza [mes]</t>
  </si>
  <si>
    <t>Provi Depreciación equipos SVC Funza [mes]</t>
  </si>
  <si>
    <t>Provi Transporte sobrecosto covid19 SVC Funza [mes]</t>
  </si>
  <si>
    <t>Provi Insumos sobrecosto covid19 SVC Funza [mes]</t>
  </si>
  <si>
    <t>Provi Servicios sobrecosto covid19 SVC Funza [mes]</t>
  </si>
  <si>
    <t>Provi Devolución Fee SVC Funza [mes]</t>
  </si>
  <si>
    <t>Provi Devolución Reciclaje SVC Funza [mes]</t>
  </si>
  <si>
    <t>Provi Alimentación SVC Funza [mes]</t>
  </si>
  <si>
    <t>Colombia FBM Funza 2</t>
  </si>
  <si>
    <t>9Q50A90160</t>
  </si>
  <si>
    <t>Chile XD Viña del Mar</t>
  </si>
  <si>
    <t>Provi MO - Administrativa XD Viña del Mar [mes]</t>
  </si>
  <si>
    <t>Provi MO - Operativa XD Viña del Mar [mes]</t>
  </si>
  <si>
    <t>Provi Servicio de Transporte XD Viña del Mar [mes]</t>
  </si>
  <si>
    <t>Provi Alimentación XD Viña del Mar [mes]</t>
  </si>
  <si>
    <t>Provi Ropa de Trabajo XD Viña del Mar [mes]</t>
  </si>
  <si>
    <t>Provi HabilitacionesXD Viña del Mar [mes]</t>
  </si>
  <si>
    <t>Provi HE XD Viña del Mar [mes]</t>
  </si>
  <si>
    <t>Provi Segurança (nuevo scope) XD Viña del Mar [mes]</t>
  </si>
  <si>
    <t>Provi Limpieza + EcoLogica XD Viña del Mar [mes]</t>
  </si>
  <si>
    <t>Provi Mantenimiento &amp; IT XD Viña del Mar [mes]</t>
  </si>
  <si>
    <t>Provi MHE XD Viña del Mar [mes]</t>
  </si>
  <si>
    <t>Provi Insumos XD Viña del Mar [mes]</t>
  </si>
  <si>
    <t>Provi Startup XD Viña del Mar [mes]</t>
  </si>
  <si>
    <t>Provi Inversiones XD Viña del Mar [mes]</t>
  </si>
  <si>
    <t>Provi Otros XD Viña del Mar [mes]</t>
  </si>
  <si>
    <t>Provi Ajuste MO XD Viña del Mar [mes]</t>
  </si>
  <si>
    <t>Ruta disco compartido</t>
  </si>
  <si>
    <t>Ruta carpeta robot</t>
  </si>
  <si>
    <t>generacion txt</t>
  </si>
  <si>
    <t>G:\Shared drives\script_MLA_contabilidad_0004\Reporting\Provision de Operadores - RPA\</t>
  </si>
  <si>
    <t>G:\Unidades compartidas\script_MLA_contabilidad_0004\Reporting\Provision de Operadores - RPA\</t>
  </si>
  <si>
    <t>SI</t>
  </si>
  <si>
    <t>CENTRO</t>
  </si>
  <si>
    <t>TAB Proveedor</t>
  </si>
  <si>
    <t>CONCEPTO</t>
  </si>
  <si>
    <t>IMPORTe CON IMPUESTO</t>
  </si>
  <si>
    <t>IMPORTE</t>
  </si>
  <si>
    <t>ACREEDOR</t>
  </si>
  <si>
    <t>CUENTA</t>
  </si>
  <si>
    <t>TEXTO</t>
  </si>
  <si>
    <t>CECO</t>
  </si>
  <si>
    <t>Excepcion</t>
  </si>
  <si>
    <t>Palabra Total</t>
  </si>
  <si>
    <t>ARGENTINA</t>
  </si>
  <si>
    <t>SVC</t>
  </si>
  <si>
    <t xml:space="preserve">APERTURA CUENTAS </t>
  </si>
  <si>
    <t>Concepto</t>
  </si>
  <si>
    <t>NA</t>
  </si>
  <si>
    <t>LANUS</t>
  </si>
  <si>
    <t>[BASE]</t>
  </si>
  <si>
    <t>"Provi." [concepto] [centro] [mes]</t>
  </si>
  <si>
    <t>TOTAL A FACTURAR</t>
  </si>
  <si>
    <t>ALCORTA</t>
  </si>
  <si>
    <t>MORON</t>
  </si>
  <si>
    <t>MUNRO</t>
  </si>
  <si>
    <t>FF</t>
  </si>
  <si>
    <t>ODC</t>
  </si>
  <si>
    <t>Monto Provisión</t>
  </si>
  <si>
    <t>Total</t>
  </si>
  <si>
    <t>Resumen</t>
  </si>
  <si>
    <t>Item</t>
  </si>
  <si>
    <t>Valor sin Margen</t>
  </si>
  <si>
    <t>TOTAL Mes</t>
  </si>
  <si>
    <t>Planilla de Costos</t>
  </si>
  <si>
    <t>COP $</t>
  </si>
  <si>
    <t>Total Factura</t>
  </si>
  <si>
    <t>SVC MEDELLIN</t>
  </si>
  <si>
    <t>Brasil XD Riberao Preto</t>
  </si>
  <si>
    <t>Sheet1</t>
  </si>
  <si>
    <t>Concepto Costo</t>
  </si>
  <si>
    <t>Con Impuestos (R$)</t>
  </si>
  <si>
    <t>Sin Impuestos (R$)</t>
  </si>
  <si>
    <t>Brasil XD Campinas</t>
  </si>
  <si>
    <t>Brasil XD Vila Guillherme</t>
  </si>
  <si>
    <t>Brasil XD Arena</t>
  </si>
  <si>
    <t>Brasil XD Bauru</t>
  </si>
  <si>
    <t>Brasil XD Sao Bernardo</t>
  </si>
  <si>
    <t>Brasil XD Vitoria</t>
  </si>
  <si>
    <t>Brasil XD Rio de Janeiro</t>
  </si>
  <si>
    <t>Brasil XD Recife</t>
  </si>
  <si>
    <t>Brasil XD Salvador</t>
  </si>
  <si>
    <t>Brasil XD Goiania</t>
  </si>
  <si>
    <t>Brasil XD Curitiba</t>
  </si>
  <si>
    <t>Brasil XD Guarulhos II</t>
  </si>
  <si>
    <t>Brasil XD Guarulhos</t>
  </si>
  <si>
    <t>FFA</t>
  </si>
  <si>
    <t>FFC</t>
  </si>
  <si>
    <t>FFL</t>
  </si>
  <si>
    <t>MeliAir</t>
  </si>
  <si>
    <t>"Provi " [concepto] [centro] [mes]</t>
  </si>
  <si>
    <t>FFJ</t>
  </si>
  <si>
    <t>Chile SVC TalcGoLive</t>
  </si>
  <si>
    <t>Chile SVC PuertGoLive</t>
  </si>
  <si>
    <t>Brasil XD Franca</t>
  </si>
  <si>
    <t>LA PLATA</t>
  </si>
  <si>
    <t>APERTURA DE CUENTAS</t>
  </si>
  <si>
    <t>6253T90T10</t>
  </si>
  <si>
    <t>6053S90T10</t>
  </si>
  <si>
    <t>Argentina XD Cordoba</t>
  </si>
  <si>
    <t>SVC LINK</t>
  </si>
  <si>
    <t>Barranquilla</t>
  </si>
  <si>
    <t>Cost plus
(open book)</t>
  </si>
  <si>
    <t>3PL</t>
  </si>
  <si>
    <t>Cartagena</t>
  </si>
  <si>
    <t>Colombia Generico</t>
  </si>
  <si>
    <t>Argentina Generico Rosario</t>
  </si>
  <si>
    <t xml:space="preserve">Apertura Cuentas </t>
  </si>
  <si>
    <t>TOTAL</t>
  </si>
  <si>
    <t xml:space="preserve"> </t>
  </si>
  <si>
    <t>Tab Excepcion</t>
  </si>
  <si>
    <t>SubConcepto</t>
  </si>
  <si>
    <t>Importe</t>
  </si>
  <si>
    <t>Sobrecostos covid19</t>
  </si>
  <si>
    <t>Covid19</t>
  </si>
  <si>
    <t>Insumo;EPP|Servicio|Transporte</t>
  </si>
  <si>
    <t>COSTO TOTAL</t>
  </si>
  <si>
    <t>Insumo: tiene que sumar "Insumo" y "EPP"</t>
  </si>
  <si>
    <t>TOTAL SVC</t>
  </si>
  <si>
    <t>TOTAL XD</t>
  </si>
  <si>
    <t>Devoluciones</t>
  </si>
  <si>
    <t>Reciclaje|Devolucion Fee Ausentismo Covid19|Averia Equipo|Devolucion FEE|Devolucion|Devolucion Star Up conos</t>
  </si>
  <si>
    <t>COSTO XD</t>
  </si>
  <si>
    <t>Reciclaje|Devolucion Fee Ausentismo Covid19|Averia Equipo|Devolucion FEE|Devolucion</t>
  </si>
  <si>
    <t>COSTO SVC</t>
  </si>
  <si>
    <t>VALOR TOTAL</t>
  </si>
  <si>
    <t>Devolucion Fee Ausentismo Covid19|Averia Equipo|Devolucion FEE|Devolucion|Reciclaje|Nomina</t>
  </si>
  <si>
    <t>Costos Facility</t>
  </si>
  <si>
    <t>Costos Facility;Total Factura Facility Noviembre</t>
  </si>
  <si>
    <t>(1.3) Otros Costos de la dotación</t>
  </si>
  <si>
    <t>MO Resumen</t>
  </si>
  <si>
    <t>Servicio de Transporte;Servicio de Transporte (1 al 22 de julio);Adicional transporte|Alimentación|Ropa de trabajo;Ropa de Trabajo|Seguro Covid 19 Ley 21342|Seguro Covid 19 (Ley 21342)|Seguro Covid  19 (Ley 21342)|Descuento Diferencia Dotación (Part-Time);Reajuste Gratificación enero-julio 2021;Descuento Tarifa PartTime;Descuento Diferencia Dotación (Part-Time)|Servicio de Transporte (1 al 22 de julio)|Bono Cyber Day octubre;Bono Cyber semana 4 al 10 de octubre</t>
  </si>
  <si>
    <t>valor sin margen</t>
  </si>
  <si>
    <t>PRÉVIA FECHAMENTO</t>
  </si>
  <si>
    <t>FF MO INVENTÁRIO E CALIDAD</t>
  </si>
  <si>
    <t>VALOR COM DISSÍDIO</t>
  </si>
  <si>
    <t>Tt Drri</t>
  </si>
  <si>
    <t>FF MO STAFF + MO SEVARENCE+ OTROS</t>
  </si>
  <si>
    <t>Overhead (4,8%) Inventario</t>
  </si>
  <si>
    <t>OVERHEAD INVENTÁRIO E CALIDAD</t>
  </si>
  <si>
    <t>Overhead (4,8%) Calidad</t>
  </si>
  <si>
    <t>Overhead (4,8%) Staff</t>
  </si>
  <si>
    <t>FF MARGEM + OVERHEAD STAFF(6%)</t>
  </si>
  <si>
    <t>Subtotal Custos Covid</t>
  </si>
  <si>
    <t>FF COVID LIMPIEZA|FF COVID LABOUR|FF COVID OTROS</t>
  </si>
  <si>
    <t>VALOR</t>
  </si>
  <si>
    <t>COVID</t>
  </si>
  <si>
    <t>PROVISÃO</t>
  </si>
  <si>
    <t>Contas I</t>
  </si>
  <si>
    <t>FF COVID LIMPIEZA|FF COVID LABOUR|FF COVID OTROS|FF OTROS Y OTROS (DESCUENTOS)</t>
  </si>
  <si>
    <t>SVC Calama</t>
  </si>
  <si>
    <t>Resumen Calama</t>
  </si>
  <si>
    <t>0C_SC_Y1</t>
  </si>
  <si>
    <t>Chile SVC Calama</t>
  </si>
  <si>
    <t>Provi MO - Administrativa SVC Calama [mes]</t>
  </si>
  <si>
    <t>Provi MO - Operativa SVC Calama [mes]</t>
  </si>
  <si>
    <t>Provi Servicio de Transporte SVC Calama [mes]</t>
  </si>
  <si>
    <t>Provi Alimentación SVC Calama [mes]</t>
  </si>
  <si>
    <t>Provi Ropa de Trabajo SVC Calama [mes]</t>
  </si>
  <si>
    <t>Provi HabilitacionesSVC Calama [mes]</t>
  </si>
  <si>
    <t>Provi HE SVC Calama [mes]</t>
  </si>
  <si>
    <t>Provi Segurança (nuevo scope) SVC Calama [mes]</t>
  </si>
  <si>
    <t>Provi Limpieza + EcoLogica SVC Calama [mes]</t>
  </si>
  <si>
    <t>Provi Mantenimiento &amp; IT SVC Calama [mes]</t>
  </si>
  <si>
    <t>Provi MHE SVC Calama [mes]</t>
  </si>
  <si>
    <t>Provi InsumosSVC Calama [mes]</t>
  </si>
  <si>
    <t>Provi Startup SVC Calama [mes]</t>
  </si>
  <si>
    <t>Provi Labour Covid SVC Calama [mes]</t>
  </si>
  <si>
    <t>Provi Inversiones SVC Calama [mes]</t>
  </si>
  <si>
    <t>Provi Otros SVC Calama [mes]</t>
  </si>
  <si>
    <t>Macro AR SA Colombia FBM 07</t>
  </si>
  <si>
    <t>XD Pereira</t>
  </si>
  <si>
    <t>XD Tunja</t>
  </si>
  <si>
    <t>XD Ibague</t>
  </si>
  <si>
    <t>Colombia XD Ibague</t>
  </si>
  <si>
    <t>Provi Margen DHL XD Ibague [mes]</t>
  </si>
  <si>
    <t>Provi Transporte sobrecosto covid19 XD Ibague [mes]</t>
  </si>
  <si>
    <t>Provi Insumos sobrecosto covid19 XD Ibague [mes]</t>
  </si>
  <si>
    <t>Provi Servicios sobrecosto covid19 XD Ibague [mes]</t>
  </si>
  <si>
    <t>Provi Devolución Reciclaje XD Ibague [mes]</t>
  </si>
  <si>
    <t>Provi Devolución Fee XD Ibague [mes]</t>
  </si>
  <si>
    <t>Provi Alquiler equipos XD Ibague [mes]</t>
  </si>
  <si>
    <t>Provi Mantenimiento equipos XD Ibague [mes]</t>
  </si>
  <si>
    <t>Provi Depreciación equipos XD Ibague [mes]</t>
  </si>
  <si>
    <t>Provi Estibas XD Ibague [mes]</t>
  </si>
  <si>
    <t>Provi Servicios Cargue y Descargue XD Ibague [mes]</t>
  </si>
  <si>
    <t>Provi Otros Dotación (Training) XD Ibague [mes]</t>
  </si>
  <si>
    <t>Colombia XD Pereira</t>
  </si>
  <si>
    <t>Provi Margen DHL XD Pereira [mes]</t>
  </si>
  <si>
    <t>Provi Transporte sobrecosto covid19 XD Pereira [mes]</t>
  </si>
  <si>
    <t>Provi Insumos sobrecosto covid19 XD Pereira [mes]</t>
  </si>
  <si>
    <t>Provi Servicios sobrecosto covid19 XD Pereira [mes]</t>
  </si>
  <si>
    <t>Provi Devolución Reciclaje XD Pereira [mes]</t>
  </si>
  <si>
    <t>Provi Devolución Fee XD Pereira [mes]</t>
  </si>
  <si>
    <t>Provi Alquiler equipos XD Pereira [mes]</t>
  </si>
  <si>
    <t>Provi Mantenimiento equipos XD Pereira [mes]</t>
  </si>
  <si>
    <t>Provi Depreciación equipos XD Pereira [mes]</t>
  </si>
  <si>
    <t>Provi Estibas XD Pereira [mes]</t>
  </si>
  <si>
    <t>Provi Servicios Cargue y Descargue XD Pereira [mes]</t>
  </si>
  <si>
    <t>Provi Otros Dotación (Training) XD Pereira [mes]</t>
  </si>
  <si>
    <t>Colombia XD Tunja</t>
  </si>
  <si>
    <t>Provi Margen DHL XD Tunja [mes]</t>
  </si>
  <si>
    <t>Provi Transporte sobrecosto covid19 XD Tunja [mes]</t>
  </si>
  <si>
    <t>Provi Insumos sobrecosto covid19 XD Tunja [mes]</t>
  </si>
  <si>
    <t>Provi Servicios sobrecosto covid19 XD Tunja [mes]</t>
  </si>
  <si>
    <t>Provi Devolución Reciclaje XD Tunja [mes]</t>
  </si>
  <si>
    <t>Provi Devolución Fee XD Tunja [mes]</t>
  </si>
  <si>
    <t>Provi Alquiler equipos XD Tunja [mes]</t>
  </si>
  <si>
    <t>Provi Mantenimiento equipos XD Tunja [mes]</t>
  </si>
  <si>
    <t>Provi Depreciación equipos XD Tunja [mes]</t>
  </si>
  <si>
    <t>Provi Estibas XD Tunja [mes]</t>
  </si>
  <si>
    <t>Provi Servicios Cargue y Descargue XD Tunja [mes]</t>
  </si>
  <si>
    <t>Provi Otros Dotación (Training) XD Tunja [mes]</t>
  </si>
  <si>
    <t>Macro AR SA Colombia SVCXD 07</t>
  </si>
  <si>
    <t>"SUPPLA|Colombia|XD Bogota|ext_lacernic@mercadolibre.com|C:\Users\ricardo.e.torres\Documents\ProvisionOP\Bases\Base XD Colombia 07.22.xlsx|Resumen DHL Bogota|C:\Users\ricardo.e.torres\Documents\ProvisionOP\Macros\|Macro AR SA Colombia SVCXD 07|0c_SB01"</t>
  </si>
  <si>
    <t>"SUPPLA|Colombia|SVC Bogota|ext_lacernic@mercadolibre.com|C:\Users\ricardo.e.torres\Documents\ProvisionOP\Bases\Base SVC Colombia 07.22.xlsx|Resumen Bogota|C:\Users\ricardo.e.torres\Documents\ProvisionOP\Macros\|Macro AR SA Colombia SVCXD 07|0c_SB01"</t>
  </si>
  <si>
    <t>"SUPPLA|Colombia|SVC Cali|ext_lacernic@mercadolibre.com|C:\Users\ricardo.e.torres\Documents\ProvisionOP\Bases\Base SVC Colombia 07.22.xlsx|Resumen Cali|C:\Users\ricardo.e.torres\Documents\ProvisionOP\Macros\|Macro AR SA Colombia SVCXD 07|0c_SVA1"</t>
  </si>
  <si>
    <t>"SUPPLA|Colombia|SVC Pereira|ext_lacernic@mercadolibre.com|C:\Users\ricardo.e.torres\Documents\ProvisionOP\Bases\Base SVC Colombia 07.22.xlsx|Resumen Pereira|C:\Users\ricardo.e.torres\Documents\ProvisionOP\Macros\|Macro AR SA Colombia SVCXD 07|0c_SRI1"</t>
  </si>
  <si>
    <t>"SUPPLA|Colombia|SVC Tunja|ext_lacernic@mercadolibre.com|C:\Users\ricardo.e.torres\Documents\ProvisionOP\Bases\Base SVC Colombia 07.22.xlsx|Resumen Tunja|C:\Users\ricardo.e.torres\Documents\ProvisionOP\Macros\|Macro AR SA Colombia SVCXD 07|0c_SBY1"</t>
  </si>
  <si>
    <t>"SUPPLA|Colombia|SVC Medellin|ext_lacernic@mercadolibre.com|C:\Users\ricardo.e.torres\Documents\ProvisionOP\Bases\Base SVC Colombia 07.22.xlsx|Resumen Medellin|C:\Users\ricardo.e.torres\Documents\ProvisionOP\Macros\|Macro AR SA Colombia SVCXD 07|0c_SAN1"</t>
  </si>
  <si>
    <t>"SUPPLA|Colombia|XD Cali|ext_lacernic@mercadolibre.com|C:\Users\ricardo.e.torres\Documents\ProvisionOP\Bases\Base XD Colombia 07.22.xlsx|Resumen Cali|C:\Users\ricardo.e.torres\Documents\ProvisionOP\Macros\|Macro AR SA Colombia SVCXD 07|0c_SVA1"</t>
  </si>
  <si>
    <t>"SUPPLA|Colombia|XD Medellin|ext_lacernic@mercadolibre.com|C:\Users\ricardo.e.torres\Documents\ProvisionOP\Bases\Base XD Colombia 07.22.xlsx|Resumen Medellin|C:\Users\ricardo.e.torres\Documents\ProvisionOP\Macros\|Macro AR SA Colombia SVCXD 07|0c_SAN1"</t>
  </si>
  <si>
    <t>"SUPPLA|Colombia|SVC Ibague|ext_lacernic@mercadolibre.com|C:\Users\ricardo.e.torres\Documents\ProvisionOP\Bases\Base SVC Colombia 07.22.xlsx|Resumen Ibague|C:\Users\ricardo.e.torres\Documents\ProvisionOP\Macros\|Macro AR SA Colombia SVCXD 07|0c_STO1"</t>
  </si>
  <si>
    <t>"Link|Colombia|SVC Barranquilla|ext_lacernic@mercadolibre.com|C:\Users\ricardo.e.torres\Documents\ProvisionOP\Bases\Base SVC Colombia 07.22.xlsx|Resumen Barranquilla|C:\Users\ricardo.e.torres\Documents\ProvisionOP\Macros\|Macro AR SA Colombia SVCXD 07|0c_SAT1"</t>
  </si>
  <si>
    <t>"Link|Colombia|SVC Cartagena|ext_lacernic@mercadolibre.com|C:\Users\ricardo.e.torres\Documents\ProvisionOP\Bases\Base SVC Colombia 07.22.xlsx|Resumen Cartagena|C:\Users\ricardo.e.torres\Documents\ProvisionOP\Macros\|Macro AR SA Colombia SVCXD 07|0c_SBL1"</t>
  </si>
  <si>
    <t>"SUPPLA|Colombia|SVC Burcaramanga|ext_lacernic@mercadolibre.com|C:\Users\ricardo.e.torres\Documents\ProvisionOP\Bases\Base SVC Colombia 07.22.xlsx|Resumen Burcaramanga|C:\Users\ricardo.e.torres\Documents\ProvisionOP\Macros\|Macro AR SA Colombia SVCXD 07|0c_SSA1"</t>
  </si>
  <si>
    <t>"SUPPLA|Colombia|SVC Funza|ext_lacernic@mercadolibre.com|C:\Users\ricardo.e.torres\Documents\ProvisionOP\Bases\Base SVC Colombia 07.22.xlsx|Resumen Funza|C:\Users\ricardo.e.torres\Documents\ProvisionOP\Macros\|Macro AR SA Colombia SVCXD 07|0c_SCI1"</t>
  </si>
  <si>
    <t>"SUPPLA|Colombia|XD Pereira|ext_lacernic@mercadolibre.com|C:\Users\ricardo.e.torres\Documents\ProvisionOP\Bases\Base XD Colombia 07.22.xlsx|Resumen Pereira|C:\Users\ricardo.e.torres\Documents\ProvisionOP\Macros\|Macro AR SA Colombia SVCXD 07|0c_SRI1"</t>
  </si>
  <si>
    <t>"SUPPLA|Colombia|XD Ibague|ext_lacernic@mercadolibre.com|C:\Users\ricardo.e.torres\Documents\ProvisionOP\Bases\Base XD Colombia 07.22.xlsx|Resumen Ibague|C:\Users\ricardo.e.torres\Documents\ProvisionOP\Macros\|Macro AR SA Colombia SVCXD 07|0c_STO1"</t>
  </si>
  <si>
    <t>"SUPPLA|Colombia|XD Tunja|ext_lacernic@mercadolibre.com|C:\Users\ricardo.e.torres\Documents\ProvisionOP\Bases\Base XD Colombia 07.22.xlsx|Resumen Tunja|C:\Users\ricardo.e.torres\Documents\ProvisionOP\Macros\|Macro AR SA Colombia SVCXD 07|0c_SBY1"</t>
  </si>
  <si>
    <t>Macro AR SA Chile SVC_XD 07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</si>
</sst>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#"/>
    <numFmt numFmtId="165" formatCode="[$$-2C0A]\ #,##0.00"/>
  </numFmts>
  <fonts count="17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</font>
    <font>
      <u/>
      <sz val="11"/>
      <color theme="1"/>
      <name val="Calibri"/>
      <family val="2"/>
    </font>
    <font>
      <b/>
      <sz val="11"/>
      <color theme="0"/>
      <name val="Calibri"/>
      <family val="2"/>
    </font>
    <font>
      <b/>
      <sz val="14"/>
      <color rgb="FFFFFFFF"/>
      <name val="Calibri"/>
      <family val="2"/>
    </font>
    <font>
      <b/>
      <sz val="11"/>
      <color theme="1"/>
      <name val="Calibri"/>
      <family val="2"/>
      <scheme val="minor"/>
    </font>
    <font>
      <b/>
      <sz val="10"/>
      <color theme="1"/>
      <name val="Calibri"/>
      <family val="2"/>
    </font>
    <font>
      <u/>
      <sz val="11"/>
      <color theme="1"/>
      <name val="Calibri"/>
      <family val="2"/>
    </font>
    <font>
      <sz val="10"/>
      <color theme="1"/>
      <name val="Calibri"/>
      <family val="2"/>
    </font>
    <font>
      <sz val="11"/>
      <color rgb="FF00000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rgb="FFFFFF00"/>
      </patternFill>
    </fill>
    <fill>
      <patternFill patternType="solid">
        <fgColor theme="4"/>
        <bgColor theme="4"/>
      </patternFill>
    </fill>
    <fill>
      <patternFill patternType="solid">
        <fgColor rgb="FFD9E2F3"/>
        <bgColor rgb="FFD9E2F3"/>
      </patternFill>
    </fill>
  </fills>
  <borders count="14">
    <border>
      <left/>
      <right/>
      <top/>
      <bottom/>
      <diagonal/>
    </border>
    <border>
      <left/>
      <right/>
      <top/>
      <bottom/>
      <diagonal/>
    </border>
    <border>
      <left/>
      <right/>
      <top style="thin">
        <color rgb="FF8EAADB"/>
      </top>
      <bottom/>
      <diagonal/>
    </border>
    <border>
      <left/>
      <right/>
      <top/>
      <bottom style="thin">
        <color rgb="FF8EAADB"/>
      </bottom>
      <diagonal/>
    </border>
    <border>
      <left style="thin">
        <color rgb="FF8EAADB"/>
      </left>
      <right/>
      <top/>
      <bottom/>
      <diagonal/>
    </border>
    <border>
      <left style="thin">
        <color rgb="FF8EAADB"/>
      </left>
      <right/>
      <top style="thin">
        <color rgb="FF8EAADB"/>
      </top>
      <bottom style="thin">
        <color rgb="FF8EAADB"/>
      </bottom>
      <diagonal/>
    </border>
    <border>
      <left/>
      <right/>
      <top style="thin">
        <color rgb="FF8EAADB"/>
      </top>
      <bottom style="thin">
        <color rgb="FF8EAADB"/>
      </bottom>
      <diagonal/>
    </border>
    <border>
      <left style="thin">
        <color rgb="FF8EAADB"/>
      </left>
      <right/>
      <top style="thin">
        <color rgb="FF8EAADB"/>
      </top>
      <bottom/>
      <diagonal/>
    </border>
    <border>
      <left/>
      <right/>
      <top style="thin">
        <color rgb="FF8EAADB"/>
      </top>
      <bottom style="thin">
        <color rgb="FF8EAADB"/>
      </bottom>
      <diagonal/>
    </border>
    <border>
      <left style="thin">
        <color rgb="FF8EAADB"/>
      </left>
      <right/>
      <top style="thin">
        <color rgb="FF8EAADB"/>
      </top>
      <bottom style="thin">
        <color rgb="FF8EAADB"/>
      </bottom>
      <diagonal/>
    </border>
    <border>
      <left style="thin">
        <color rgb="FF8EAADB"/>
      </left>
      <right/>
      <top style="thin">
        <color rgb="FF8EAADB"/>
      </top>
      <bottom/>
      <diagonal/>
    </border>
    <border>
      <left/>
      <right/>
      <top style="thin">
        <color rgb="FF000000"/>
      </top>
      <bottom/>
      <diagonal/>
    </border>
    <border>
      <left/>
      <right/>
      <top style="thin">
        <color rgb="FF8EAADB"/>
      </top>
      <bottom/>
      <diagonal/>
    </border>
    <border>
      <left/>
      <right style="thin">
        <color rgb="FFB7B7B7"/>
      </right>
      <top style="thin">
        <color rgb="FF000000"/>
      </top>
      <bottom/>
      <diagonal/>
    </border>
  </borders>
  <cellStyleXfs count="2">
    <xf numFmtId="0" fontId="0" fillId="0" borderId="0"/>
    <xf numFmtId="0" fontId="5" fillId="0" borderId="1"/>
  </cellStyleXfs>
  <cellXfs count="53">
    <xf numFmtId="0" fontId="0" fillId="0" borderId="0" xfId="0" applyFont="1" applyAlignment="1"/>
    <xf numFmtId="0" fontId="6" fillId="0" borderId="0" xfId="0" applyFont="1"/>
    <xf numFmtId="0" fontId="7" fillId="0" borderId="0" xfId="0" applyFont="1"/>
    <xf numFmtId="0" fontId="8" fillId="0" borderId="0" xfId="0" applyFont="1"/>
    <xf numFmtId="0" fontId="6" fillId="0" borderId="0" xfId="0" applyFont="1"/>
    <xf numFmtId="0" fontId="6" fillId="2" borderId="1" xfId="0" applyFont="1" applyFill="1" applyBorder="1"/>
    <xf numFmtId="0" fontId="6" fillId="2" borderId="1" xfId="0" applyFont="1" applyFill="1" applyBorder="1"/>
    <xf numFmtId="0" fontId="6" fillId="0" borderId="0" xfId="0" applyFont="1" applyAlignment="1"/>
    <xf numFmtId="0" fontId="6" fillId="0" borderId="2" xfId="0" applyFont="1" applyBorder="1"/>
    <xf numFmtId="0" fontId="9" fillId="0" borderId="0" xfId="0" applyFont="1"/>
    <xf numFmtId="3" fontId="6" fillId="0" borderId="0" xfId="0" applyNumberFormat="1" applyFont="1"/>
    <xf numFmtId="3" fontId="6" fillId="0" borderId="0" xfId="0" applyNumberFormat="1" applyFont="1"/>
    <xf numFmtId="0" fontId="10" fillId="3" borderId="3" xfId="0" applyFont="1" applyFill="1" applyBorder="1"/>
    <xf numFmtId="0" fontId="10" fillId="3" borderId="4" xfId="0" applyFont="1" applyFill="1" applyBorder="1"/>
    <xf numFmtId="0" fontId="10" fillId="3" borderId="1" xfId="0" applyFont="1" applyFill="1" applyBorder="1"/>
    <xf numFmtId="0" fontId="6" fillId="0" borderId="5" xfId="0" applyFont="1" applyBorder="1"/>
    <xf numFmtId="0" fontId="6" fillId="0" borderId="6" xfId="0" applyFont="1" applyBorder="1"/>
    <xf numFmtId="0" fontId="6" fillId="0" borderId="7" xfId="0" applyFont="1" applyBorder="1"/>
    <xf numFmtId="0" fontId="10" fillId="3" borderId="8" xfId="0" applyFont="1" applyFill="1" applyBorder="1"/>
    <xf numFmtId="0" fontId="11" fillId="0" borderId="0" xfId="0" applyFont="1" applyAlignment="1">
      <alignment vertical="center"/>
    </xf>
    <xf numFmtId="164" fontId="6" fillId="0" borderId="0" xfId="0" applyNumberFormat="1" applyFont="1"/>
    <xf numFmtId="0" fontId="6" fillId="0" borderId="0" xfId="0" applyFont="1" applyAlignment="1">
      <alignment wrapText="1"/>
    </xf>
    <xf numFmtId="0" fontId="7" fillId="3" borderId="0" xfId="0" applyFont="1" applyFill="1"/>
    <xf numFmtId="0" fontId="12" fillId="3" borderId="0" xfId="0" applyFont="1" applyFill="1"/>
    <xf numFmtId="0" fontId="6" fillId="4" borderId="0" xfId="0" applyFont="1" applyFill="1"/>
    <xf numFmtId="0" fontId="7" fillId="4" borderId="0" xfId="0" applyFont="1" applyFill="1"/>
    <xf numFmtId="0" fontId="6" fillId="4" borderId="5" xfId="0" applyFont="1" applyFill="1" applyBorder="1"/>
    <xf numFmtId="0" fontId="6" fillId="4" borderId="9" xfId="0" applyFont="1" applyFill="1" applyBorder="1"/>
    <xf numFmtId="0" fontId="6" fillId="4" borderId="7" xfId="0" applyFont="1" applyFill="1" applyBorder="1"/>
    <xf numFmtId="0" fontId="6" fillId="4" borderId="6" xfId="0" applyFont="1" applyFill="1" applyBorder="1"/>
    <xf numFmtId="0" fontId="6" fillId="4" borderId="2" xfId="0" applyFont="1" applyFill="1" applyBorder="1"/>
    <xf numFmtId="0" fontId="6" fillId="4" borderId="10" xfId="0" applyFont="1" applyFill="1" applyBorder="1"/>
    <xf numFmtId="0" fontId="7" fillId="0" borderId="0" xfId="0" applyFont="1"/>
    <xf numFmtId="165" fontId="13" fillId="0" borderId="11" xfId="0" applyNumberFormat="1" applyFont="1" applyBorder="1" applyAlignment="1">
      <alignment horizontal="center" vertical="center" wrapText="1"/>
    </xf>
    <xf numFmtId="0" fontId="6" fillId="4" borderId="10" xfId="0" applyFont="1" applyFill="1" applyBorder="1"/>
    <xf numFmtId="0" fontId="6" fillId="4" borderId="12" xfId="0" applyFont="1" applyFill="1" applyBorder="1"/>
    <xf numFmtId="0" fontId="13" fillId="2" borderId="1" xfId="0" applyFont="1" applyFill="1" applyBorder="1" applyAlignment="1">
      <alignment horizontal="center"/>
    </xf>
    <xf numFmtId="165" fontId="13" fillId="0" borderId="13" xfId="0" applyNumberFormat="1" applyFont="1" applyBorder="1" applyAlignment="1">
      <alignment horizontal="center" vertical="center" wrapText="1"/>
    </xf>
    <xf numFmtId="0" fontId="14" fillId="0" borderId="0" xfId="0" applyFont="1"/>
    <xf numFmtId="0" fontId="6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0" fontId="6" fillId="0" borderId="0" xfId="0" applyFont="1" applyAlignment="1">
      <alignment vertical="center" wrapText="1"/>
    </xf>
    <xf numFmtId="0" fontId="6" fillId="0" borderId="0" xfId="0" applyFont="1" applyAlignme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5" fillId="0" borderId="1" xfId="1" applyFont="1" applyAlignment="1"/>
    <xf numFmtId="0" fontId="6" fillId="0" borderId="1" xfId="1" applyFont="1"/>
    <xf numFmtId="0" fontId="5" fillId="0" borderId="1" xfId="1" applyFont="1"/>
    <xf numFmtId="0" fontId="4" fillId="0" borderId="0" xfId="0" applyFont="1"/>
    <xf numFmtId="0" fontId="3" fillId="0" borderId="0" xfId="0" applyFont="1"/>
    <xf numFmtId="0" fontId="3" fillId="0" borderId="0" xfId="0" applyFont="1" applyAlignment="1"/>
    <xf numFmtId="0" fontId="2" fillId="0" borderId="0" xfId="0" applyFont="1" applyAlignment="1"/>
    <xf numFmtId="0" fontId="1" fillId="0" borderId="0" xfId="0" applyFont="1"/>
  </cellXfs>
  <cellStyles count="2">
    <cellStyle name="Normal" xfId="0" builtinId="0"/>
    <cellStyle name="Normal 2" xfId="1" xr:uid="{047E7B40-C031-48A3-8014-1D67E8636D26}"/>
  </cellStyles>
  <dxfs count="22">
    <dxf>
      <numFmt numFmtId="0" formatCode="General"/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7">
    <tableStyle name="Operadores-style" pivot="0" count="3" xr9:uid="{00000000-0011-0000-FFFF-FFFF00000000}">
      <tableStyleElement type="headerRow" dxfId="21"/>
      <tableStyleElement type="firstRowStripe" dxfId="20"/>
      <tableStyleElement type="secondRowStripe" dxfId="19"/>
    </tableStyle>
    <tableStyle name="Materialidades-style" pivot="0" count="3" xr9:uid="{00000000-0011-0000-FFFF-FFFF01000000}">
      <tableStyleElement type="headerRow" dxfId="18"/>
      <tableStyleElement type="firstRowStripe" dxfId="17"/>
      <tableStyleElement type="secondRowStripe" dxfId="16"/>
    </tableStyle>
    <tableStyle name="Monedas-style" pivot="0" count="3" xr9:uid="{00000000-0011-0000-FFFF-FFFF02000000}">
      <tableStyleElement type="headerRow" dxfId="15"/>
      <tableStyleElement type="firstRowStripe" dxfId="14"/>
      <tableStyleElement type="secondRowStripe" dxfId="13"/>
    </tableStyle>
    <tableStyle name="Asientos-style" pivot="0" count="3" xr9:uid="{00000000-0011-0000-FFFF-FFFF03000000}">
      <tableStyleElement type="headerRow" dxfId="12"/>
      <tableStyleElement type="firstRowStripe" dxfId="11"/>
      <tableStyleElement type="secondRowStripe" dxfId="10"/>
    </tableStyle>
    <tableStyle name="Asientos-style 2" pivot="0" count="3" xr9:uid="{00000000-0011-0000-FFFF-FFFF04000000}">
      <tableStyleElement type="headerRow" dxfId="9"/>
      <tableStyleElement type="firstRowStripe" dxfId="8"/>
      <tableStyleElement type="secondRowStripe" dxfId="7"/>
    </tableStyle>
    <tableStyle name="Template Archivos-style" pivot="0" count="3" xr9:uid="{00000000-0011-0000-FFFF-FFFF05000000}">
      <tableStyleElement type="headerRow" dxfId="6"/>
      <tableStyleElement type="firstRowStripe" dxfId="5"/>
      <tableStyleElement type="secondRowStripe" dxfId="4"/>
    </tableStyle>
    <tableStyle name="Excepciones-style" pivot="0" count="3" xr9:uid="{00000000-0011-0000-FFFF-FFFF06000000}"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comments1.xml.rels><?xml version="1.0" encoding="UTF-8" standalone="yes"?>
<Relationships xmlns="http://schemas.openxmlformats.org/package/2006/relationships"><Relationship Id="rId1" Type="http://customschemas.google.com/relationships/workbookmetadata" Target="commentsmeta0"/></Relationships>
</file>

<file path=xl/_rels/comments2.xml.rels><?xml version="1.0" encoding="UTF-8" standalone="yes"?>
<Relationships xmlns="http://schemas.openxmlformats.org/package/2006/relationships"><Relationship Id="rId1" Type="http://customschemas.google.com/relationships/workbookmetadata" Target="commentsmeta1"/></Relationships>
</file>

<file path=xl/_rels/comments3.xml.rels><?xml version="1.0" encoding="UTF-8" standalone="yes"?>
<Relationships xmlns="http://schemas.openxmlformats.org/package/2006/relationships"><Relationship Id="rId1" Type="http://customschemas.google.com/relationships/workbookmetadata" Target="commentsmeta2"/></Relationships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38100</xdr:colOff>
          <xdr:row>8</xdr:row>
          <xdr:rowOff>9525</xdr:rowOff>
        </xdr:from>
        <xdr:to>
          <xdr:col>15</xdr:col>
          <xdr:colOff>76200</xdr:colOff>
          <xdr:row>14</xdr:row>
          <xdr:rowOff>57150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3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Ejecutar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I105">
  <tableColumns count="9">
    <tableColumn id="1" xr3:uid="{00000000-0010-0000-0000-000001000000}" name="Operador"/>
    <tableColumn id="2" xr3:uid="{00000000-0010-0000-0000-000002000000}" name="País"/>
    <tableColumn id="3" xr3:uid="{00000000-0010-0000-0000-000003000000}" name="Centro"/>
    <tableColumn id="4" xr3:uid="{00000000-0010-0000-0000-000004000000}" name="Responsable"/>
    <tableColumn id="5" xr3:uid="{00000000-0010-0000-0000-000005000000}" name="Nombre archivo Op."/>
    <tableColumn id="6" xr3:uid="{00000000-0010-0000-0000-000006000000}" name="Ruta base"/>
    <tableColumn id="7" xr3:uid="{00000000-0010-0000-0000-000007000000}" name="Nombre Base"/>
    <tableColumn id="8" xr3:uid="{00000000-0010-0000-0000-000008000000}" name="Tab base"/>
    <tableColumn id="9" xr3:uid="{00000000-0010-0000-0000-000009000000}" name="Template"/>
  </tableColumns>
  <tableStyleInfo name="Operadores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C14">
  <tableColumns count="3">
    <tableColumn id="1" xr3:uid="{00000000-0010-0000-0100-000001000000}" name="Pais"/>
    <tableColumn id="2" xr3:uid="{00000000-0010-0000-0100-000002000000}" name="Materialidad LC"/>
    <tableColumn id="3" xr3:uid="{00000000-0010-0000-0100-000003000000}" name="Materialidad USD"/>
  </tableColumns>
  <tableStyleInfo name="Materialidades-style" showFirstColumn="1" showLastColumn="1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_3" displayName="Table_3" ref="A1:D7">
  <tableColumns count="4">
    <tableColumn id="1" xr3:uid="{00000000-0010-0000-0200-000001000000}" name="País"/>
    <tableColumn id="2" xr3:uid="{00000000-0010-0000-0200-000002000000}" name="Sociedad"/>
    <tableColumn id="3" xr3:uid="{00000000-0010-0000-0200-000003000000}" name="Moneda"/>
    <tableColumn id="4" xr3:uid="{00000000-0010-0000-0200-000004000000}" name="Tolerancia"/>
  </tableColumns>
  <tableStyleInfo name="Monedas-style" showFirstColumn="1" showLastColumn="1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_4" displayName="Table_4" ref="A1:K86">
  <tableColumns count="11">
    <tableColumn id="1" xr3:uid="{00000000-0010-0000-0300-000001000000}" name="Operador"/>
    <tableColumn id="2" xr3:uid="{00000000-0010-0000-0300-000002000000}" name="País"/>
    <tableColumn id="3" xr3:uid="{00000000-0010-0000-0300-000003000000}" name="Centro"/>
    <tableColumn id="4" xr3:uid="{00000000-0010-0000-0300-000004000000}" name="Responsable"/>
    <tableColumn id="5" xr3:uid="{00000000-0010-0000-0300-000005000000}" name="Ruta base"/>
    <tableColumn id="6" xr3:uid="{00000000-0010-0000-0300-000006000000}" name="Nombre Base"/>
    <tableColumn id="7" xr3:uid="{00000000-0010-0000-0300-000007000000}" name="Tab base"/>
    <tableColumn id="8" xr3:uid="{00000000-0010-0000-0300-000008000000}" name="Ruta Macro" dataDxfId="0">
      <calculatedColumnFormula>Rutas!$A$2&amp;"Macros\Ejemplos Macros\"</calculatedColumnFormula>
    </tableColumn>
    <tableColumn id="9" xr3:uid="{00000000-0010-0000-0300-000009000000}" name="Nombre Macro"/>
    <tableColumn id="10" xr3:uid="{00000000-0010-0000-0300-00000A000000}" name="Orden"/>
    <tableColumn id="11" xr3:uid="{00000000-0010-0000-0300-00000B000000}" name="Generar asientos"/>
  </tableColumns>
  <tableStyleInfo name="Asientos-style" showFirstColumn="1" showLastColumn="1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_5" displayName="Table_5" ref="M3:N4">
  <tableColumns count="2">
    <tableColumn id="1" xr3:uid="{00000000-0010-0000-0400-000001000000}" name="MES"/>
    <tableColumn id="2" xr3:uid="{00000000-0010-0000-0400-000002000000}" name="AÑO"/>
  </tableColumns>
  <tableStyleInfo name="Asientos-style 2" showFirstColumn="1" showLastColumn="1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_6" displayName="Table_6" ref="A1:N90">
  <tableColumns count="14">
    <tableColumn id="1" xr3:uid="{00000000-0010-0000-0500-000001000000}" name="Nombre archivo Op."/>
    <tableColumn id="2" xr3:uid="{00000000-0010-0000-0500-000002000000}" name="Pais"/>
    <tableColumn id="3" xr3:uid="{00000000-0010-0000-0500-000003000000}" name="Template"/>
    <tableColumn id="4" xr3:uid="{00000000-0010-0000-0500-000004000000}" name="CENTRO"/>
    <tableColumn id="5" xr3:uid="{00000000-0010-0000-0500-000005000000}" name="TAB Proveedor"/>
    <tableColumn id="6" xr3:uid="{00000000-0010-0000-0500-000006000000}" name="CONCEPTO"/>
    <tableColumn id="7" xr3:uid="{00000000-0010-0000-0500-000007000000}" name="IMPORTe CON IMPUESTO"/>
    <tableColumn id="8" xr3:uid="{00000000-0010-0000-0500-000008000000}" name="IMPORTE"/>
    <tableColumn id="9" xr3:uid="{00000000-0010-0000-0500-000009000000}" name="ACREEDOR"/>
    <tableColumn id="10" xr3:uid="{00000000-0010-0000-0500-00000A000000}" name="CUENTA"/>
    <tableColumn id="11" xr3:uid="{00000000-0010-0000-0500-00000B000000}" name="TEXTO"/>
    <tableColumn id="12" xr3:uid="{00000000-0010-0000-0500-00000C000000}" name="CECO"/>
    <tableColumn id="13" xr3:uid="{00000000-0010-0000-0500-00000D000000}" name="Excepcion"/>
    <tableColumn id="14" xr3:uid="{00000000-0010-0000-0500-00000E000000}" name="Palabra Total"/>
  </tableColumns>
  <tableStyleInfo name="Template Archivos-style" showFirstColumn="1" showLastColumn="1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_7" displayName="Table_7" ref="A1:F25">
  <tableColumns count="6">
    <tableColumn id="1" xr3:uid="{00000000-0010-0000-0600-000001000000}" name=" "/>
    <tableColumn id="2" xr3:uid="{00000000-0010-0000-0600-000002000000}" name="Centro"/>
    <tableColumn id="3" xr3:uid="{00000000-0010-0000-0600-000003000000}" name="Concepto"/>
    <tableColumn id="4" xr3:uid="{00000000-0010-0000-0600-000004000000}" name="Tab Excepcion"/>
    <tableColumn id="5" xr3:uid="{00000000-0010-0000-0600-000005000000}" name="SubConcepto"/>
    <tableColumn id="6" xr3:uid="{00000000-0010-0000-0600-000006000000}" name="Importe"/>
  </tableColumns>
  <tableStyleInfo name="Excepciones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mailto:ext_fepoblet@mercadolibre.com" TargetMode="External"/><Relationship Id="rId13" Type="http://schemas.openxmlformats.org/officeDocument/2006/relationships/hyperlink" Target="mailto:ext_sogatti@mercadolibre.com" TargetMode="External"/><Relationship Id="rId3" Type="http://schemas.openxmlformats.org/officeDocument/2006/relationships/hyperlink" Target="mailto:ext_sogatti@mercadolibre.com" TargetMode="External"/><Relationship Id="rId7" Type="http://schemas.openxmlformats.org/officeDocument/2006/relationships/hyperlink" Target="mailto:ext_sogatti@mercadolibre.com" TargetMode="External"/><Relationship Id="rId12" Type="http://schemas.openxmlformats.org/officeDocument/2006/relationships/hyperlink" Target="mailto:ext_sogatti@mercadolibre.com" TargetMode="External"/><Relationship Id="rId17" Type="http://schemas.openxmlformats.org/officeDocument/2006/relationships/comments" Target="../comments1.xml"/><Relationship Id="rId2" Type="http://schemas.openxmlformats.org/officeDocument/2006/relationships/hyperlink" Target="mailto:ext_rictorre@mercadolibre.com" TargetMode="External"/><Relationship Id="rId16" Type="http://schemas.openxmlformats.org/officeDocument/2006/relationships/table" Target="../tables/table1.xml"/><Relationship Id="rId1" Type="http://schemas.openxmlformats.org/officeDocument/2006/relationships/hyperlink" Target="mailto:ext_sogatti@mercadolibre.com" TargetMode="External"/><Relationship Id="rId6" Type="http://schemas.openxmlformats.org/officeDocument/2006/relationships/hyperlink" Target="mailto:ext_fepoblet@mercadolibre.com" TargetMode="External"/><Relationship Id="rId11" Type="http://schemas.openxmlformats.org/officeDocument/2006/relationships/hyperlink" Target="mailto:ext_joovalle@mercadolibre.com" TargetMode="External"/><Relationship Id="rId5" Type="http://schemas.openxmlformats.org/officeDocument/2006/relationships/hyperlink" Target="mailto:ext_sogatti@mercadolibre.com" TargetMode="External"/><Relationship Id="rId15" Type="http://schemas.openxmlformats.org/officeDocument/2006/relationships/vmlDrawing" Target="../drawings/vmlDrawing1.vml"/><Relationship Id="rId10" Type="http://schemas.openxmlformats.org/officeDocument/2006/relationships/hyperlink" Target="mailto:ext_sogatti@mercadolibre.com" TargetMode="External"/><Relationship Id="rId4" Type="http://schemas.openxmlformats.org/officeDocument/2006/relationships/hyperlink" Target="mailto:ext_sogatti@mercadolibre.com" TargetMode="External"/><Relationship Id="rId9" Type="http://schemas.openxmlformats.org/officeDocument/2006/relationships/hyperlink" Target="mailto:ext_sogatti@mercadolibre.com" TargetMode="External"/><Relationship Id="rId14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ext_fepoblet@mercadolibre.com" TargetMode="External"/><Relationship Id="rId18" Type="http://schemas.openxmlformats.org/officeDocument/2006/relationships/hyperlink" Target="mailto:ext_sogatti@mercadolibre.com" TargetMode="External"/><Relationship Id="rId26" Type="http://schemas.openxmlformats.org/officeDocument/2006/relationships/hyperlink" Target="mailto:ext_sogatti@mercadolibre.com" TargetMode="External"/><Relationship Id="rId3" Type="http://schemas.openxmlformats.org/officeDocument/2006/relationships/hyperlink" Target="mailto:sofia.gatti@mercadolibre.com" TargetMode="External"/><Relationship Id="rId21" Type="http://schemas.openxmlformats.org/officeDocument/2006/relationships/hyperlink" Target="mailto:ext_sogatti@mercadolibre.com" TargetMode="External"/><Relationship Id="rId34" Type="http://schemas.openxmlformats.org/officeDocument/2006/relationships/comments" Target="../comments2.xml"/><Relationship Id="rId7" Type="http://schemas.openxmlformats.org/officeDocument/2006/relationships/hyperlink" Target="mailto:ext_fepoblet@mercadolibre.com" TargetMode="External"/><Relationship Id="rId12" Type="http://schemas.openxmlformats.org/officeDocument/2006/relationships/hyperlink" Target="mailto:ext_fepoblet@mercadolibre.com" TargetMode="External"/><Relationship Id="rId17" Type="http://schemas.openxmlformats.org/officeDocument/2006/relationships/hyperlink" Target="mailto:ext_sogatti@mercadolibre.com" TargetMode="External"/><Relationship Id="rId25" Type="http://schemas.openxmlformats.org/officeDocument/2006/relationships/hyperlink" Target="mailto:ext_sogatti@mercadolibre.com" TargetMode="External"/><Relationship Id="rId33" Type="http://schemas.openxmlformats.org/officeDocument/2006/relationships/table" Target="../tables/table5.xml"/><Relationship Id="rId2" Type="http://schemas.openxmlformats.org/officeDocument/2006/relationships/hyperlink" Target="mailto:ext_sogatti@mercadolibre.com" TargetMode="External"/><Relationship Id="rId16" Type="http://schemas.openxmlformats.org/officeDocument/2006/relationships/hyperlink" Target="mailto:ext_sogatti@mercadolibre.com" TargetMode="External"/><Relationship Id="rId20" Type="http://schemas.openxmlformats.org/officeDocument/2006/relationships/hyperlink" Target="mailto:ext_sogatti@mercadolibre.com" TargetMode="External"/><Relationship Id="rId29" Type="http://schemas.openxmlformats.org/officeDocument/2006/relationships/drawing" Target="../drawings/drawing1.xml"/><Relationship Id="rId1" Type="http://schemas.openxmlformats.org/officeDocument/2006/relationships/hyperlink" Target="mailto:ext_sogatti@mercadolibre.com" TargetMode="External"/><Relationship Id="rId6" Type="http://schemas.openxmlformats.org/officeDocument/2006/relationships/hyperlink" Target="mailto:ext_fepoblet@mercadolibre.com" TargetMode="External"/><Relationship Id="rId11" Type="http://schemas.openxmlformats.org/officeDocument/2006/relationships/hyperlink" Target="mailto:ext_sogatti@mercadolibre.com" TargetMode="External"/><Relationship Id="rId24" Type="http://schemas.openxmlformats.org/officeDocument/2006/relationships/hyperlink" Target="mailto:ext_sogatti@mercadolibre.com" TargetMode="External"/><Relationship Id="rId32" Type="http://schemas.openxmlformats.org/officeDocument/2006/relationships/table" Target="../tables/table4.xml"/><Relationship Id="rId5" Type="http://schemas.openxmlformats.org/officeDocument/2006/relationships/hyperlink" Target="mailto:ext_fepoblet@mercadolibre.com" TargetMode="External"/><Relationship Id="rId15" Type="http://schemas.openxmlformats.org/officeDocument/2006/relationships/hyperlink" Target="mailto:ext_fepoblet@mercadolibre.com" TargetMode="External"/><Relationship Id="rId23" Type="http://schemas.openxmlformats.org/officeDocument/2006/relationships/hyperlink" Target="mailto:ext_sogatti@mercadolibre.com" TargetMode="External"/><Relationship Id="rId28" Type="http://schemas.openxmlformats.org/officeDocument/2006/relationships/printerSettings" Target="../printerSettings/printerSettings2.bin"/><Relationship Id="rId10" Type="http://schemas.openxmlformats.org/officeDocument/2006/relationships/hyperlink" Target="mailto:ext_sogatti@mercadolibre.com" TargetMode="External"/><Relationship Id="rId19" Type="http://schemas.openxmlformats.org/officeDocument/2006/relationships/hyperlink" Target="mailto:ext_sogatti@mercadolibre.com" TargetMode="External"/><Relationship Id="rId31" Type="http://schemas.openxmlformats.org/officeDocument/2006/relationships/ctrlProp" Target="../ctrlProps/ctrlProp1.xml"/><Relationship Id="rId4" Type="http://schemas.openxmlformats.org/officeDocument/2006/relationships/hyperlink" Target="mailto:ext_sogatti@mercadolibre.com" TargetMode="External"/><Relationship Id="rId9" Type="http://schemas.openxmlformats.org/officeDocument/2006/relationships/hyperlink" Target="mailto:ext_lacernic@mercadolibre.com" TargetMode="External"/><Relationship Id="rId14" Type="http://schemas.openxmlformats.org/officeDocument/2006/relationships/hyperlink" Target="mailto:sofia.gatti@mercadolibre.com" TargetMode="External"/><Relationship Id="rId22" Type="http://schemas.openxmlformats.org/officeDocument/2006/relationships/hyperlink" Target="mailto:ext_sogatti@mercadolibre.com" TargetMode="External"/><Relationship Id="rId27" Type="http://schemas.openxmlformats.org/officeDocument/2006/relationships/hyperlink" Target="mailto:ext_sogatti@mercadolibre.com" TargetMode="External"/><Relationship Id="rId30" Type="http://schemas.openxmlformats.org/officeDocument/2006/relationships/vmlDrawing" Target="../drawings/vmlDrawing2.vml"/><Relationship Id="rId8" Type="http://schemas.openxmlformats.org/officeDocument/2006/relationships/hyperlink" Target="mailto:ext_fepoblet@mercadolibre.com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3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92D050"/>
  </sheetPr>
  <dimension ref="A1:Z1000"/>
  <sheetViews>
    <sheetView topLeftCell="G1" workbookViewId="0">
      <selection activeCell="I1" sqref="I1"/>
    </sheetView>
  </sheetViews>
  <sheetFormatPr baseColWidth="10" defaultColWidth="14.42578125" defaultRowHeight="15" customHeight="1" x14ac:dyDescent="0.25"/>
  <cols>
    <col min="1" max="1" width="14.42578125" customWidth="1"/>
    <col min="2" max="2" width="9.42578125" customWidth="1"/>
    <col min="3" max="4" width="29.28515625" customWidth="1"/>
    <col min="5" max="5" width="25.28515625" customWidth="1"/>
    <col min="6" max="6" width="120.140625" customWidth="1"/>
    <col min="7" max="7" width="30.140625" customWidth="1"/>
    <col min="8" max="8" width="48" customWidth="1"/>
    <col min="9" max="9" width="11.85546875" customWidth="1"/>
    <col min="10" max="26" width="9.140625" customWidth="1"/>
  </cols>
  <sheetData>
    <row r="1" spans="1:26" x14ac:dyDescent="0.25">
      <c r="A1" s="1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</row>
    <row r="2" spans="1:26" x14ac:dyDescent="0.25">
      <c r="A2" s="2" t="s">
        <v>9</v>
      </c>
      <c r="B2" s="2" t="s">
        <v>10</v>
      </c>
      <c r="C2" s="2" t="s">
        <v>11</v>
      </c>
      <c r="D2" s="3" t="s">
        <v>12</v>
      </c>
      <c r="E2" s="1" t="str">
        <f>CONCATENATE(Operadores!$B2," ",Operadores!$C2)</f>
        <v>Mexico FBM Prologis</v>
      </c>
      <c r="F2" s="1" t="str">
        <f>Rutas!$A$2&amp;"Bases\"&amp;G2</f>
        <v>G:\Shared drives\script_MLA_contabilidad_0004\Reporting\Provision de Operadores - RPA\Bases\Base FF Mexico [mm.aa].xlsx</v>
      </c>
      <c r="G2" s="2" t="s">
        <v>13</v>
      </c>
      <c r="H2" s="2" t="s">
        <v>14</v>
      </c>
      <c r="I2" s="2" t="s">
        <v>15</v>
      </c>
    </row>
    <row r="3" spans="1:26" x14ac:dyDescent="0.25">
      <c r="A3" s="2" t="s">
        <v>16</v>
      </c>
      <c r="B3" s="2" t="s">
        <v>17</v>
      </c>
      <c r="C3" s="2" t="s">
        <v>18</v>
      </c>
      <c r="D3" s="3" t="s">
        <v>12</v>
      </c>
      <c r="E3" s="1" t="str">
        <f>CONCATENATE(Operadores!$B3," ",Operadores!$C3)</f>
        <v>Chile FBM Colina</v>
      </c>
      <c r="F3" s="1" t="str">
        <f>Rutas!$A$2&amp;"Bases\"&amp;G3</f>
        <v>G:\Shared drives\script_MLA_contabilidad_0004\Reporting\Provision de Operadores - RPA\Bases\Base FF Chile [mm.aa].xlsx</v>
      </c>
      <c r="G3" s="2" t="s">
        <v>19</v>
      </c>
      <c r="H3" s="2" t="s">
        <v>20</v>
      </c>
      <c r="I3" s="2" t="s">
        <v>21</v>
      </c>
    </row>
    <row r="4" spans="1:26" x14ac:dyDescent="0.25">
      <c r="A4" s="2" t="s">
        <v>16</v>
      </c>
      <c r="B4" s="2" t="s">
        <v>17</v>
      </c>
      <c r="C4" s="2" t="s">
        <v>22</v>
      </c>
      <c r="D4" s="3" t="s">
        <v>12</v>
      </c>
      <c r="E4" s="1" t="str">
        <f>CONCATENATE(Operadores!$B4," ",Operadores!$C4)</f>
        <v>Chile XD</v>
      </c>
      <c r="F4" s="1" t="str">
        <f>Rutas!$A$2&amp;"Bases\"&amp;G4</f>
        <v>G:\Shared drives\script_MLA_contabilidad_0004\Reporting\Provision de Operadores - RPA\Bases\Base XD Chile [mm.aa].xlsx</v>
      </c>
      <c r="G4" s="2" t="s">
        <v>23</v>
      </c>
      <c r="H4" s="2" t="s">
        <v>20</v>
      </c>
      <c r="I4" s="2" t="s">
        <v>21</v>
      </c>
    </row>
    <row r="5" spans="1:26" x14ac:dyDescent="0.25">
      <c r="A5" s="2" t="s">
        <v>16</v>
      </c>
      <c r="B5" s="2" t="s">
        <v>17</v>
      </c>
      <c r="C5" s="2" t="s">
        <v>24</v>
      </c>
      <c r="D5" s="3" t="s">
        <v>12</v>
      </c>
      <c r="E5" s="1" t="str">
        <f>CONCATENATE(Operadores!$B5," ",Operadores!$C5)</f>
        <v>Chile SVC Renca 1</v>
      </c>
      <c r="F5" s="1" t="str">
        <f>Rutas!$A$2&amp;"Bases\"&amp;G5</f>
        <v>G:\Shared drives\script_MLA_contabilidad_0004\Reporting\Provision de Operadores - RPA\Bases\Base SVC Chile [mm.aa].xlsx</v>
      </c>
      <c r="G5" s="2" t="s">
        <v>25</v>
      </c>
      <c r="H5" s="2" t="s">
        <v>26</v>
      </c>
      <c r="I5" s="2" t="s">
        <v>21</v>
      </c>
    </row>
    <row r="6" spans="1:26" x14ac:dyDescent="0.25">
      <c r="A6" s="2" t="s">
        <v>16</v>
      </c>
      <c r="B6" s="2" t="s">
        <v>17</v>
      </c>
      <c r="C6" s="2" t="s">
        <v>27</v>
      </c>
      <c r="D6" s="3" t="s">
        <v>12</v>
      </c>
      <c r="E6" s="1" t="str">
        <f>CONCATENATE(Operadores!$B6," ",Operadores!$C6)</f>
        <v>Chile SVC Renca 2</v>
      </c>
      <c r="F6" s="1" t="str">
        <f>Rutas!$A$2&amp;"Bases\"&amp;G6</f>
        <v>G:\Shared drives\script_MLA_contabilidad_0004\Reporting\Provision de Operadores - RPA\Bases\Base SVC Chile [mm.aa].xlsx</v>
      </c>
      <c r="G6" s="2" t="s">
        <v>25</v>
      </c>
      <c r="H6" s="2" t="s">
        <v>28</v>
      </c>
      <c r="I6" s="2" t="s">
        <v>21</v>
      </c>
    </row>
    <row r="7" spans="1:26" x14ac:dyDescent="0.25">
      <c r="A7" s="2" t="s">
        <v>16</v>
      </c>
      <c r="B7" s="2" t="s">
        <v>17</v>
      </c>
      <c r="C7" s="2" t="s">
        <v>29</v>
      </c>
      <c r="D7" s="3" t="s">
        <v>12</v>
      </c>
      <c r="E7" s="1" t="str">
        <f>CONCATENATE(Operadores!$B7," ",Operadores!$C7)</f>
        <v>Chile SVC Coquimbo</v>
      </c>
      <c r="F7" s="1" t="str">
        <f>Rutas!$A$2&amp;"Bases\"&amp;G7</f>
        <v>G:\Shared drives\script_MLA_contabilidad_0004\Reporting\Provision de Operadores - RPA\Bases\Base SVC Chile [mm.aa].xlsx</v>
      </c>
      <c r="G7" s="2" t="s">
        <v>25</v>
      </c>
      <c r="H7" s="2" t="s">
        <v>30</v>
      </c>
      <c r="I7" s="2" t="s">
        <v>21</v>
      </c>
    </row>
    <row r="8" spans="1:26" x14ac:dyDescent="0.25">
      <c r="A8" s="1" t="s">
        <v>16</v>
      </c>
      <c r="B8" s="1" t="s">
        <v>17</v>
      </c>
      <c r="C8" s="1" t="s">
        <v>31</v>
      </c>
      <c r="D8" s="3" t="s">
        <v>12</v>
      </c>
      <c r="E8" s="1" t="str">
        <f>CONCATENATE(Operadores!$B8," ",Operadores!$C8)</f>
        <v>Chile SVC Rancagua</v>
      </c>
      <c r="F8" s="1" t="str">
        <f>Rutas!$A$2&amp;"Bases\"&amp;G8</f>
        <v>G:\Shared drives\script_MLA_contabilidad_0004\Reporting\Provision de Operadores - RPA\Bases\Base SVC Chile [mm.aa].xlsx</v>
      </c>
      <c r="G8" s="1" t="s">
        <v>25</v>
      </c>
      <c r="H8" s="1" t="s">
        <v>32</v>
      </c>
      <c r="I8" s="1" t="s">
        <v>21</v>
      </c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x14ac:dyDescent="0.25">
      <c r="A9" s="5" t="s">
        <v>16</v>
      </c>
      <c r="B9" s="5" t="s">
        <v>17</v>
      </c>
      <c r="C9" s="5" t="s">
        <v>31</v>
      </c>
      <c r="D9" s="3" t="s">
        <v>33</v>
      </c>
      <c r="E9" s="5" t="s">
        <v>34</v>
      </c>
      <c r="F9" s="1" t="str">
        <f>Rutas!$A$2&amp;"Bases\"&amp;G9</f>
        <v>G:\Shared drives\script_MLA_contabilidad_0004\Reporting\Provision de Operadores - RPA\Bases\Base SVC ChileTEST [mm.aa].xlsx</v>
      </c>
      <c r="G9" s="5" t="s">
        <v>35</v>
      </c>
      <c r="H9" s="5" t="s">
        <v>32</v>
      </c>
      <c r="I9" s="5" t="s">
        <v>21</v>
      </c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6"/>
      <c r="V9" s="6"/>
      <c r="W9" s="6"/>
      <c r="X9" s="6"/>
      <c r="Y9" s="6"/>
      <c r="Z9" s="6"/>
    </row>
    <row r="10" spans="1:26" x14ac:dyDescent="0.25">
      <c r="A10" s="2" t="s">
        <v>16</v>
      </c>
      <c r="B10" s="2" t="s">
        <v>17</v>
      </c>
      <c r="C10" s="2" t="s">
        <v>36</v>
      </c>
      <c r="D10" s="3" t="s">
        <v>12</v>
      </c>
      <c r="E10" s="1" t="str">
        <f>CONCATENATE(Operadores!$B10," ",Operadores!$C10)</f>
        <v>Chile SVC Concepcion</v>
      </c>
      <c r="F10" s="1" t="str">
        <f>Rutas!$A$2&amp;"Bases\"&amp;G10</f>
        <v>G:\Shared drives\script_MLA_contabilidad_0004\Reporting\Provision de Operadores - RPA\Bases\Base SVC Chile [mm.aa].xlsx</v>
      </c>
      <c r="G10" s="2" t="s">
        <v>25</v>
      </c>
      <c r="H10" s="2" t="s">
        <v>37</v>
      </c>
      <c r="I10" s="2" t="s">
        <v>21</v>
      </c>
    </row>
    <row r="11" spans="1:26" x14ac:dyDescent="0.25">
      <c r="A11" s="2" t="s">
        <v>38</v>
      </c>
      <c r="B11" s="2" t="s">
        <v>39</v>
      </c>
      <c r="C11" s="2" t="s">
        <v>40</v>
      </c>
      <c r="D11" s="3" t="s">
        <v>12</v>
      </c>
      <c r="E11" s="1" t="str">
        <f>CONCATENATE(Operadores!$B11," ",Operadores!$C11)</f>
        <v>Colombia FBM Funza</v>
      </c>
      <c r="F11" s="1" t="str">
        <f>Rutas!$A$2&amp;"Bases\"&amp;G11</f>
        <v>G:\Shared drives\script_MLA_contabilidad_0004\Reporting\Provision de Operadores - RPA\Bases\Base FF Colombia [mm.aa].xlsx</v>
      </c>
      <c r="G11" s="2" t="s">
        <v>41</v>
      </c>
      <c r="H11" s="2" t="s">
        <v>14</v>
      </c>
      <c r="I11" s="2" t="s">
        <v>42</v>
      </c>
    </row>
    <row r="12" spans="1:26" x14ac:dyDescent="0.25">
      <c r="A12" s="2" t="s">
        <v>38</v>
      </c>
      <c r="B12" s="2" t="s">
        <v>39</v>
      </c>
      <c r="C12" s="2" t="s">
        <v>43</v>
      </c>
      <c r="D12" s="3" t="s">
        <v>12</v>
      </c>
      <c r="E12" s="1" t="str">
        <f>CONCATENATE(Operadores!$B12," ",Operadores!$C12)</f>
        <v>Colombia SVC Bogota</v>
      </c>
      <c r="F12" s="1" t="str">
        <f>Rutas!$A$2&amp;"Bases\"&amp;G12</f>
        <v>G:\Shared drives\script_MLA_contabilidad_0004\Reporting\Provision de Operadores - RPA\Bases\Base SVC Colombia [mm.aa].xlsx</v>
      </c>
      <c r="G12" s="2" t="s">
        <v>44</v>
      </c>
      <c r="H12" s="2" t="s">
        <v>45</v>
      </c>
      <c r="I12" s="2" t="s">
        <v>42</v>
      </c>
    </row>
    <row r="13" spans="1:26" x14ac:dyDescent="0.25">
      <c r="A13" s="2" t="s">
        <v>38</v>
      </c>
      <c r="B13" s="2" t="s">
        <v>39</v>
      </c>
      <c r="C13" s="2" t="s">
        <v>46</v>
      </c>
      <c r="D13" s="3" t="s">
        <v>12</v>
      </c>
      <c r="E13" s="1" t="str">
        <f>CONCATENATE(Operadores!$B13," ",Operadores!$C13)</f>
        <v>Colombia SVC Cali</v>
      </c>
      <c r="F13" s="1" t="str">
        <f>Rutas!$A$2&amp;"Bases\"&amp;G13</f>
        <v>G:\Shared drives\script_MLA_contabilidad_0004\Reporting\Provision de Operadores - RPA\Bases\Base SVC Colombia [mm.aa].xlsx</v>
      </c>
      <c r="G13" s="2" t="s">
        <v>44</v>
      </c>
      <c r="H13" s="2" t="s">
        <v>47</v>
      </c>
      <c r="I13" s="2" t="s">
        <v>42</v>
      </c>
    </row>
    <row r="14" spans="1:26" x14ac:dyDescent="0.25">
      <c r="A14" s="1" t="s">
        <v>38</v>
      </c>
      <c r="B14" s="1" t="s">
        <v>39</v>
      </c>
      <c r="C14" s="1" t="s">
        <v>48</v>
      </c>
      <c r="D14" s="3" t="s">
        <v>12</v>
      </c>
      <c r="E14" s="1" t="str">
        <f>CONCATENATE(Operadores!$B14," ",Operadores!$C14)</f>
        <v>Colombia SVC Pereira</v>
      </c>
      <c r="F14" s="1" t="str">
        <f>Rutas!$A$2&amp;"Bases\"&amp;G14</f>
        <v>G:\Shared drives\script_MLA_contabilidad_0004\Reporting\Provision de Operadores - RPA\Bases\Base SVC Colombia [mm.aa].xlsx</v>
      </c>
      <c r="G14" s="1" t="s">
        <v>44</v>
      </c>
      <c r="H14" s="1" t="s">
        <v>49</v>
      </c>
      <c r="I14" s="1" t="s">
        <v>42</v>
      </c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x14ac:dyDescent="0.25">
      <c r="A15" s="2" t="s">
        <v>38</v>
      </c>
      <c r="B15" s="2" t="s">
        <v>39</v>
      </c>
      <c r="C15" s="2" t="s">
        <v>50</v>
      </c>
      <c r="D15" s="3" t="s">
        <v>12</v>
      </c>
      <c r="E15" s="1" t="str">
        <f>CONCATENATE(Operadores!$B15," ",Operadores!$C15)</f>
        <v>Colombia SVC Medellin</v>
      </c>
      <c r="F15" s="1" t="str">
        <f>Rutas!$A$2&amp;"Bases\"&amp;G15</f>
        <v>G:\Shared drives\script_MLA_contabilidad_0004\Reporting\Provision de Operadores - RPA\Bases\Base SVC Colombia [mm.aa].xlsx</v>
      </c>
      <c r="G15" s="2" t="s">
        <v>44</v>
      </c>
      <c r="H15" s="2" t="s">
        <v>51</v>
      </c>
      <c r="I15" s="2" t="s">
        <v>42</v>
      </c>
    </row>
    <row r="16" spans="1:26" x14ac:dyDescent="0.25">
      <c r="A16" s="1" t="s">
        <v>38</v>
      </c>
      <c r="B16" s="1" t="s">
        <v>39</v>
      </c>
      <c r="C16" s="1" t="s">
        <v>52</v>
      </c>
      <c r="D16" s="3" t="s">
        <v>12</v>
      </c>
      <c r="E16" s="1" t="str">
        <f>CONCATENATE(Operadores!$B16," ",Operadores!$C16)</f>
        <v>Colombia SVC Tunja</v>
      </c>
      <c r="F16" s="1" t="str">
        <f>Rutas!$A$2&amp;"Bases\"&amp;G16</f>
        <v>G:\Shared drives\script_MLA_contabilidad_0004\Reporting\Provision de Operadores - RPA\Bases\Base SVC Colombia [mm.aa].xlsx</v>
      </c>
      <c r="G16" s="1" t="s">
        <v>44</v>
      </c>
      <c r="H16" s="1" t="s">
        <v>53</v>
      </c>
      <c r="I16" s="1" t="s">
        <v>42</v>
      </c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9" x14ac:dyDescent="0.25">
      <c r="A17" s="2" t="s">
        <v>38</v>
      </c>
      <c r="B17" s="2" t="s">
        <v>39</v>
      </c>
      <c r="C17" s="2" t="s">
        <v>54</v>
      </c>
      <c r="D17" s="3" t="s">
        <v>12</v>
      </c>
      <c r="E17" s="1" t="str">
        <f>CONCATENATE(Operadores!$B17," ",Operadores!$C17)</f>
        <v>Colombia XD Bogota</v>
      </c>
      <c r="F17" s="1" t="str">
        <f>Rutas!$A$2&amp;"Bases\"&amp;G17</f>
        <v>G:\Shared drives\script_MLA_contabilidad_0004\Reporting\Provision de Operadores - RPA\Bases\Base XD Colombia [mm.aa].xlsx</v>
      </c>
      <c r="G17" s="2" t="s">
        <v>55</v>
      </c>
      <c r="H17" s="2" t="s">
        <v>56</v>
      </c>
      <c r="I17" s="2" t="s">
        <v>42</v>
      </c>
    </row>
    <row r="18" spans="1:9" x14ac:dyDescent="0.25">
      <c r="A18" s="2" t="s">
        <v>38</v>
      </c>
      <c r="B18" s="2" t="s">
        <v>39</v>
      </c>
      <c r="C18" s="2" t="s">
        <v>57</v>
      </c>
      <c r="D18" s="3" t="s">
        <v>12</v>
      </c>
      <c r="E18" s="1" t="str">
        <f>CONCATENATE(Operadores!$B18," ",Operadores!$C18)</f>
        <v>Colombia XD Cali</v>
      </c>
      <c r="F18" s="1" t="str">
        <f>Rutas!$A$2&amp;"Bases\"&amp;G18</f>
        <v>G:\Shared drives\script_MLA_contabilidad_0004\Reporting\Provision de Operadores - RPA\Bases\Base XD Colombia [mm.aa].xlsx</v>
      </c>
      <c r="G18" s="2" t="s">
        <v>55</v>
      </c>
      <c r="H18" s="2" t="s">
        <v>47</v>
      </c>
      <c r="I18" s="2" t="s">
        <v>42</v>
      </c>
    </row>
    <row r="19" spans="1:9" x14ac:dyDescent="0.25">
      <c r="A19" s="2" t="s">
        <v>58</v>
      </c>
      <c r="B19" s="2" t="s">
        <v>59</v>
      </c>
      <c r="C19" s="2" t="s">
        <v>60</v>
      </c>
      <c r="D19" s="3" t="s">
        <v>61</v>
      </c>
      <c r="E19" s="1" t="str">
        <f>CONCATENATE(Operadores!$B19," ",Operadores!$C19)</f>
        <v>Brasil XD Riberao Preto</v>
      </c>
      <c r="F19" s="1" t="str">
        <f>Rutas!$A$2&amp;"Bases\"&amp;G19</f>
        <v>G:\Shared drives\script_MLA_contabilidad_0004\Reporting\Provision de Operadores - RPA\Bases\Base XD Brasil [mm.aa].xlsx</v>
      </c>
      <c r="G19" s="2" t="s">
        <v>62</v>
      </c>
      <c r="H19" s="2" t="s">
        <v>63</v>
      </c>
      <c r="I19" s="2" t="s">
        <v>64</v>
      </c>
    </row>
    <row r="20" spans="1:9" x14ac:dyDescent="0.25">
      <c r="A20" s="2" t="s">
        <v>16</v>
      </c>
      <c r="B20" s="2" t="s">
        <v>59</v>
      </c>
      <c r="C20" s="2" t="s">
        <v>65</v>
      </c>
      <c r="D20" s="3" t="s">
        <v>61</v>
      </c>
      <c r="E20" s="1" t="str">
        <f>CONCATENATE(Operadores!$B20," ",Operadores!$C20)</f>
        <v>Brasil XD Campinas</v>
      </c>
      <c r="F20" s="1" t="str">
        <f>Rutas!$A$2&amp;"Bases\"&amp;G20</f>
        <v>G:\Shared drives\script_MLA_contabilidad_0004\Reporting\Provision de Operadores - RPA\Bases\Base XD Brasil [mm.aa].xlsx</v>
      </c>
      <c r="G20" s="2" t="s">
        <v>62</v>
      </c>
      <c r="H20" s="2" t="s">
        <v>66</v>
      </c>
      <c r="I20" s="2" t="s">
        <v>64</v>
      </c>
    </row>
    <row r="21" spans="1:9" ht="15.75" customHeight="1" x14ac:dyDescent="0.25">
      <c r="A21" s="2" t="s">
        <v>58</v>
      </c>
      <c r="B21" s="2" t="s">
        <v>59</v>
      </c>
      <c r="C21" s="2" t="s">
        <v>67</v>
      </c>
      <c r="D21" s="3" t="s">
        <v>61</v>
      </c>
      <c r="E21" s="1" t="str">
        <f>CONCATENATE(Operadores!$B21," ",Operadores!$C21)</f>
        <v>Brasil XD Vila Guillherme</v>
      </c>
      <c r="F21" s="1" t="str">
        <f>Rutas!$A$2&amp;"Bases\"&amp;G21</f>
        <v>G:\Shared drives\script_MLA_contabilidad_0004\Reporting\Provision de Operadores - RPA\Bases\Base XD Brasil [mm.aa].xlsx</v>
      </c>
      <c r="G21" s="2" t="s">
        <v>62</v>
      </c>
      <c r="H21" s="2" t="s">
        <v>68</v>
      </c>
      <c r="I21" s="2" t="s">
        <v>64</v>
      </c>
    </row>
    <row r="22" spans="1:9" ht="15.75" customHeight="1" x14ac:dyDescent="0.25">
      <c r="A22" s="2" t="s">
        <v>16</v>
      </c>
      <c r="B22" s="2" t="s">
        <v>59</v>
      </c>
      <c r="C22" s="2" t="s">
        <v>69</v>
      </c>
      <c r="D22" s="3" t="s">
        <v>61</v>
      </c>
      <c r="E22" s="1" t="str">
        <f>CONCATENATE(Operadores!$B22," ",Operadores!$C22)</f>
        <v>Brasil XD Arena</v>
      </c>
      <c r="F22" s="1" t="str">
        <f>Rutas!$A$2&amp;"Bases\"&amp;G22</f>
        <v>G:\Shared drives\script_MLA_contabilidad_0004\Reporting\Provision de Operadores - RPA\Bases\Base XD Brasil [mm.aa].xlsx</v>
      </c>
      <c r="G22" s="2" t="s">
        <v>62</v>
      </c>
      <c r="H22" s="2" t="s">
        <v>70</v>
      </c>
      <c r="I22" s="2" t="s">
        <v>64</v>
      </c>
    </row>
    <row r="23" spans="1:9" ht="15.75" customHeight="1" x14ac:dyDescent="0.25">
      <c r="A23" s="2" t="s">
        <v>58</v>
      </c>
      <c r="B23" s="2" t="s">
        <v>59</v>
      </c>
      <c r="C23" s="2" t="s">
        <v>71</v>
      </c>
      <c r="D23" s="3" t="s">
        <v>61</v>
      </c>
      <c r="E23" s="1" t="str">
        <f>CONCATENATE(Operadores!$B23," ",Operadores!$C23)</f>
        <v>Brasil XD Bauru</v>
      </c>
      <c r="F23" s="1" t="str">
        <f>Rutas!$A$2&amp;"Bases\"&amp;G23</f>
        <v>G:\Shared drives\script_MLA_contabilidad_0004\Reporting\Provision de Operadores - RPA\Bases\Base XD Brasil [mm.aa].xlsx</v>
      </c>
      <c r="G23" s="2" t="s">
        <v>62</v>
      </c>
      <c r="H23" s="2" t="s">
        <v>72</v>
      </c>
      <c r="I23" s="2" t="s">
        <v>64</v>
      </c>
    </row>
    <row r="24" spans="1:9" ht="15.75" customHeight="1" x14ac:dyDescent="0.25">
      <c r="A24" s="2" t="s">
        <v>58</v>
      </c>
      <c r="B24" s="2" t="s">
        <v>59</v>
      </c>
      <c r="C24" s="2" t="s">
        <v>73</v>
      </c>
      <c r="D24" s="3" t="s">
        <v>61</v>
      </c>
      <c r="E24" s="1" t="str">
        <f>CONCATENATE(Operadores!$B24," ",Operadores!$C24)</f>
        <v>Brasil XD Sao Bernardo</v>
      </c>
      <c r="F24" s="1" t="str">
        <f>Rutas!$A$2&amp;"Bases\"&amp;G24</f>
        <v>G:\Shared drives\script_MLA_contabilidad_0004\Reporting\Provision de Operadores - RPA\Bases\Base XD Brasil [mm.aa].xlsx</v>
      </c>
      <c r="G24" s="2" t="s">
        <v>62</v>
      </c>
      <c r="H24" s="2" t="s">
        <v>74</v>
      </c>
      <c r="I24" s="2" t="s">
        <v>64</v>
      </c>
    </row>
    <row r="25" spans="1:9" ht="15.75" customHeight="1" x14ac:dyDescent="0.25">
      <c r="A25" s="2" t="s">
        <v>58</v>
      </c>
      <c r="B25" s="2" t="s">
        <v>59</v>
      </c>
      <c r="C25" s="2" t="s">
        <v>75</v>
      </c>
      <c r="D25" s="3" t="s">
        <v>61</v>
      </c>
      <c r="E25" s="1" t="str">
        <f>CONCATENATE(Operadores!$B25," ",Operadores!$C25)</f>
        <v>Brasil XD Vitoria</v>
      </c>
      <c r="F25" s="1" t="str">
        <f>Rutas!$A$2&amp;"Bases\"&amp;G25</f>
        <v>G:\Shared drives\script_MLA_contabilidad_0004\Reporting\Provision de Operadores - RPA\Bases\Base XD Brasil [mm.aa].xlsx</v>
      </c>
      <c r="G25" s="2" t="s">
        <v>62</v>
      </c>
      <c r="H25" s="2" t="s">
        <v>76</v>
      </c>
      <c r="I25" s="2" t="s">
        <v>64</v>
      </c>
    </row>
    <row r="26" spans="1:9" ht="15.75" customHeight="1" x14ac:dyDescent="0.25">
      <c r="A26" s="2" t="s">
        <v>58</v>
      </c>
      <c r="B26" s="2" t="s">
        <v>59</v>
      </c>
      <c r="C26" s="2" t="s">
        <v>77</v>
      </c>
      <c r="D26" s="3" t="s">
        <v>61</v>
      </c>
      <c r="E26" s="1" t="str">
        <f>CONCATENATE(Operadores!$B26," ",Operadores!$C26)</f>
        <v>Brasil XD Rio de Janeiro</v>
      </c>
      <c r="F26" s="1" t="str">
        <f>Rutas!$A$2&amp;"Bases\"&amp;G26</f>
        <v>G:\Shared drives\script_MLA_contabilidad_0004\Reporting\Provision de Operadores - RPA\Bases\Base XD Brasil [mm.aa].xlsx</v>
      </c>
      <c r="G26" s="2" t="s">
        <v>62</v>
      </c>
      <c r="H26" s="2" t="s">
        <v>78</v>
      </c>
      <c r="I26" s="2" t="s">
        <v>64</v>
      </c>
    </row>
    <row r="27" spans="1:9" ht="15.75" customHeight="1" x14ac:dyDescent="0.25">
      <c r="A27" s="2" t="s">
        <v>58</v>
      </c>
      <c r="B27" s="2" t="s">
        <v>59</v>
      </c>
      <c r="C27" s="2" t="s">
        <v>79</v>
      </c>
      <c r="D27" s="3" t="s">
        <v>61</v>
      </c>
      <c r="E27" s="1" t="str">
        <f>CONCATENATE(Operadores!$B27," ",Operadores!$C27)</f>
        <v>Brasil XD Recife</v>
      </c>
      <c r="F27" s="1" t="str">
        <f>Rutas!$A$2&amp;"Bases\"&amp;G27</f>
        <v>G:\Shared drives\script_MLA_contabilidad_0004\Reporting\Provision de Operadores - RPA\Bases\Base XD Brasil [mm.aa].xlsx</v>
      </c>
      <c r="G27" s="2" t="s">
        <v>62</v>
      </c>
      <c r="H27" s="2" t="s">
        <v>80</v>
      </c>
      <c r="I27" s="2" t="s">
        <v>64</v>
      </c>
    </row>
    <row r="28" spans="1:9" ht="15.75" customHeight="1" x14ac:dyDescent="0.25">
      <c r="A28" s="2" t="s">
        <v>58</v>
      </c>
      <c r="B28" s="2" t="s">
        <v>59</v>
      </c>
      <c r="C28" s="2" t="s">
        <v>81</v>
      </c>
      <c r="D28" s="3" t="s">
        <v>61</v>
      </c>
      <c r="E28" s="1" t="str">
        <f>CONCATENATE(Operadores!$B28," ",Operadores!$C28)</f>
        <v>Brasil XD Salvador</v>
      </c>
      <c r="F28" s="1" t="str">
        <f>Rutas!$A$2&amp;"Bases\"&amp;G28</f>
        <v>G:\Shared drives\script_MLA_contabilidad_0004\Reporting\Provision de Operadores - RPA\Bases\Base XD Brasil [mm.aa].xlsx</v>
      </c>
      <c r="G28" s="2" t="s">
        <v>62</v>
      </c>
      <c r="H28" s="2" t="s">
        <v>82</v>
      </c>
      <c r="I28" s="2" t="s">
        <v>64</v>
      </c>
    </row>
    <row r="29" spans="1:9" ht="15.75" customHeight="1" x14ac:dyDescent="0.25">
      <c r="A29" s="2" t="s">
        <v>58</v>
      </c>
      <c r="B29" s="2" t="s">
        <v>59</v>
      </c>
      <c r="C29" s="2" t="s">
        <v>83</v>
      </c>
      <c r="D29" s="3" t="s">
        <v>61</v>
      </c>
      <c r="E29" s="1" t="str">
        <f>CONCATENATE(Operadores!$B29," ",Operadores!$C29)</f>
        <v>Brasil XD Goiania</v>
      </c>
      <c r="F29" s="1" t="str">
        <f>Rutas!$A$2&amp;"Bases\"&amp;G29</f>
        <v>G:\Shared drives\script_MLA_contabilidad_0004\Reporting\Provision de Operadores - RPA\Bases\Base XD Brasil [mm.aa].xlsx</v>
      </c>
      <c r="G29" s="2" t="s">
        <v>62</v>
      </c>
      <c r="H29" s="2" t="s">
        <v>84</v>
      </c>
      <c r="I29" s="2" t="s">
        <v>64</v>
      </c>
    </row>
    <row r="30" spans="1:9" ht="15.75" customHeight="1" x14ac:dyDescent="0.25">
      <c r="A30" s="2" t="s">
        <v>58</v>
      </c>
      <c r="B30" s="2" t="s">
        <v>59</v>
      </c>
      <c r="C30" s="2" t="s">
        <v>85</v>
      </c>
      <c r="D30" s="3" t="s">
        <v>61</v>
      </c>
      <c r="E30" s="1" t="str">
        <f>CONCATENATE(Operadores!$B30," ",Operadores!$C30)</f>
        <v>Brasil XD Curitiba</v>
      </c>
      <c r="F30" s="1" t="str">
        <f>Rutas!$A$2&amp;"Bases\"&amp;G30</f>
        <v>G:\Shared drives\script_MLA_contabilidad_0004\Reporting\Provision de Operadores - RPA\Bases\Base XD Brasil [mm.aa].xlsx</v>
      </c>
      <c r="G30" s="2" t="s">
        <v>62</v>
      </c>
      <c r="H30" s="2" t="s">
        <v>86</v>
      </c>
      <c r="I30" s="2" t="s">
        <v>64</v>
      </c>
    </row>
    <row r="31" spans="1:9" ht="15.75" customHeight="1" x14ac:dyDescent="0.25">
      <c r="A31" s="2" t="s">
        <v>58</v>
      </c>
      <c r="B31" s="2" t="s">
        <v>59</v>
      </c>
      <c r="C31" s="2" t="s">
        <v>87</v>
      </c>
      <c r="D31" s="3" t="s">
        <v>61</v>
      </c>
      <c r="E31" s="1" t="str">
        <f>CONCATENATE(Operadores!$B31," ",Operadores!$C31)</f>
        <v>Brasil XD Guarulhos</v>
      </c>
      <c r="F31" s="1" t="str">
        <f>Rutas!$A$2&amp;"Bases\"&amp;G31</f>
        <v>G:\Shared drives\script_MLA_contabilidad_0004\Reporting\Provision de Operadores - RPA\Bases\Base XD Brasil [mm.aa].xlsx</v>
      </c>
      <c r="G31" s="2" t="s">
        <v>62</v>
      </c>
      <c r="H31" s="2" t="s">
        <v>88</v>
      </c>
      <c r="I31" s="2" t="s">
        <v>64</v>
      </c>
    </row>
    <row r="32" spans="1:9" ht="15.75" customHeight="1" x14ac:dyDescent="0.25">
      <c r="A32" s="2" t="s">
        <v>58</v>
      </c>
      <c r="B32" s="2" t="s">
        <v>59</v>
      </c>
      <c r="C32" s="2" t="s">
        <v>89</v>
      </c>
      <c r="D32" s="3" t="s">
        <v>61</v>
      </c>
      <c r="E32" s="1" t="str">
        <f>CONCATENATE(Operadores!$B32," ",Operadores!$C32)</f>
        <v>Brasil FBM Anhanguera</v>
      </c>
      <c r="F32" s="1" t="str">
        <f>Rutas!$A$2&amp;"Bases\"&amp;G32</f>
        <v>G:\Shared drives\script_MLA_contabilidad_0004\Reporting\Provision de Operadores - RPA\Bases\Base FF Brasil [mm.aa].xlsx</v>
      </c>
      <c r="G32" s="2" t="s">
        <v>90</v>
      </c>
      <c r="H32" s="2" t="s">
        <v>91</v>
      </c>
      <c r="I32" s="2" t="s">
        <v>64</v>
      </c>
    </row>
    <row r="33" spans="1:26" ht="15.75" customHeight="1" x14ac:dyDescent="0.25">
      <c r="A33" s="2" t="s">
        <v>58</v>
      </c>
      <c r="B33" s="2" t="s">
        <v>59</v>
      </c>
      <c r="C33" s="2" t="s">
        <v>92</v>
      </c>
      <c r="D33" s="3" t="s">
        <v>61</v>
      </c>
      <c r="E33" s="1" t="str">
        <f>CONCATENATE(Operadores!$B33," ",Operadores!$C33)</f>
        <v>Brasil FBM Cajamar</v>
      </c>
      <c r="F33" s="1" t="str">
        <f>Rutas!$A$2&amp;"Bases\"&amp;G33</f>
        <v>G:\Shared drives\script_MLA_contabilidad_0004\Reporting\Provision de Operadores - RPA\Bases\Base FF Brasil [mm.aa].xlsx</v>
      </c>
      <c r="G33" s="2" t="s">
        <v>90</v>
      </c>
      <c r="H33" s="2" t="s">
        <v>93</v>
      </c>
      <c r="I33" s="2" t="s">
        <v>64</v>
      </c>
    </row>
    <row r="34" spans="1:26" ht="15.75" customHeight="1" x14ac:dyDescent="0.25">
      <c r="A34" s="2" t="s">
        <v>16</v>
      </c>
      <c r="B34" s="2" t="s">
        <v>59</v>
      </c>
      <c r="C34" s="2" t="s">
        <v>94</v>
      </c>
      <c r="D34" s="3" t="s">
        <v>61</v>
      </c>
      <c r="E34" s="1" t="str">
        <f>CONCATENATE(Operadores!$B34," ",Operadores!$C34)</f>
        <v>Brasil FBM Louveira</v>
      </c>
      <c r="F34" s="1" t="str">
        <f>Rutas!$A$2&amp;"Bases\"&amp;G34</f>
        <v>G:\Shared drives\script_MLA_contabilidad_0004\Reporting\Provision de Operadores - RPA\Bases\Base FF Brasil [mm.aa].xlsx</v>
      </c>
      <c r="G34" s="2" t="s">
        <v>90</v>
      </c>
      <c r="H34" s="2" t="s">
        <v>95</v>
      </c>
      <c r="I34" s="2" t="s">
        <v>64</v>
      </c>
    </row>
    <row r="35" spans="1:26" ht="15.75" customHeight="1" x14ac:dyDescent="0.25">
      <c r="A35" s="1" t="s">
        <v>96</v>
      </c>
      <c r="B35" s="2" t="s">
        <v>97</v>
      </c>
      <c r="C35" s="2" t="s">
        <v>98</v>
      </c>
      <c r="D35" s="3" t="s">
        <v>99</v>
      </c>
      <c r="E35" s="1" t="str">
        <f>CONCATENATE(Operadores!$B35," ",Operadores!$C35)</f>
        <v>Argentina SVC Lanús</v>
      </c>
      <c r="F35" s="1" t="str">
        <f>Rutas!$A$2&amp;"Bases\"&amp;G35</f>
        <v>G:\Shared drives\script_MLA_contabilidad_0004\Reporting\Provision de Operadores - RPA\Bases\Base SVC Argentina [mm.aa].xlsx</v>
      </c>
      <c r="G35" s="2" t="s">
        <v>100</v>
      </c>
      <c r="H35" s="2" t="s">
        <v>101</v>
      </c>
      <c r="I35" s="2" t="s">
        <v>102</v>
      </c>
    </row>
    <row r="36" spans="1:26" ht="15.75" customHeight="1" x14ac:dyDescent="0.25">
      <c r="A36" s="1" t="s">
        <v>96</v>
      </c>
      <c r="B36" s="2" t="s">
        <v>97</v>
      </c>
      <c r="C36" s="2" t="s">
        <v>103</v>
      </c>
      <c r="D36" s="3" t="s">
        <v>99</v>
      </c>
      <c r="E36" s="1" t="str">
        <f>CONCATENATE(Operadores!$B36," ",Operadores!$C36)</f>
        <v>Argentina SVC Alcorta</v>
      </c>
      <c r="F36" s="1" t="str">
        <f>Rutas!$A$2&amp;"Bases\"&amp;G36</f>
        <v>G:\Shared drives\script_MLA_contabilidad_0004\Reporting\Provision de Operadores - RPA\Bases\Base SVC Argentina [mm.aa].xlsx</v>
      </c>
      <c r="G36" s="2" t="s">
        <v>100</v>
      </c>
      <c r="H36" s="2" t="s">
        <v>104</v>
      </c>
      <c r="I36" s="1" t="s">
        <v>102</v>
      </c>
    </row>
    <row r="37" spans="1:26" ht="15.75" customHeight="1" x14ac:dyDescent="0.25">
      <c r="A37" s="1" t="s">
        <v>96</v>
      </c>
      <c r="B37" s="2" t="s">
        <v>97</v>
      </c>
      <c r="C37" s="2" t="s">
        <v>105</v>
      </c>
      <c r="D37" s="3" t="s">
        <v>99</v>
      </c>
      <c r="E37" s="1" t="str">
        <f>CONCATENATE(Operadores!$B37," ",Operadores!$C37)</f>
        <v>Argentina SVC Morón</v>
      </c>
      <c r="F37" s="1" t="str">
        <f>Rutas!$A$2&amp;"Bases\"&amp;G37</f>
        <v>G:\Shared drives\script_MLA_contabilidad_0004\Reporting\Provision de Operadores - RPA\Bases\Base SVC Argentina [mm.aa].xlsx</v>
      </c>
      <c r="G37" s="2" t="s">
        <v>100</v>
      </c>
      <c r="H37" s="2" t="s">
        <v>106</v>
      </c>
      <c r="I37" s="1" t="s">
        <v>102</v>
      </c>
    </row>
    <row r="38" spans="1:26" ht="15.75" customHeight="1" x14ac:dyDescent="0.25">
      <c r="A38" s="1" t="s">
        <v>96</v>
      </c>
      <c r="B38" s="2" t="s">
        <v>97</v>
      </c>
      <c r="C38" s="2" t="s">
        <v>107</v>
      </c>
      <c r="D38" s="3" t="s">
        <v>99</v>
      </c>
      <c r="E38" s="1" t="str">
        <f>CONCATENATE(Operadores!$B38," ",Operadores!$C38)</f>
        <v>Argentina SVC Munro</v>
      </c>
      <c r="F38" s="1" t="str">
        <f>Rutas!$A$2&amp;"Bases\"&amp;G38</f>
        <v>G:\Shared drives\script_MLA_contabilidad_0004\Reporting\Provision de Operadores - RPA\Bases\Base SVC Argentina [mm.aa].xlsx</v>
      </c>
      <c r="G38" s="2" t="s">
        <v>100</v>
      </c>
      <c r="H38" s="2" t="s">
        <v>108</v>
      </c>
      <c r="I38" s="1" t="s">
        <v>102</v>
      </c>
    </row>
    <row r="39" spans="1:26" ht="15.75" customHeight="1" x14ac:dyDescent="0.25">
      <c r="A39" s="1" t="s">
        <v>58</v>
      </c>
      <c r="B39" s="1" t="s">
        <v>59</v>
      </c>
      <c r="C39" s="2" t="s">
        <v>109</v>
      </c>
      <c r="D39" s="3" t="s">
        <v>61</v>
      </c>
      <c r="E39" s="1" t="str">
        <f>CONCATENATE(Operadores!$B39," ",Operadores!$C39)</f>
        <v>Brasil AirHUB Guarulhos</v>
      </c>
      <c r="F39" s="1" t="str">
        <f>Rutas!$A$2&amp;"Bases\"&amp;G39</f>
        <v>G:\Shared drives\script_MLA_contabilidad_0004\Reporting\Provision de Operadores - RPA\Bases\Base AirHUB Brasil [mm.aa].xlsx</v>
      </c>
      <c r="G39" s="2" t="s">
        <v>110</v>
      </c>
      <c r="H39" s="2" t="s">
        <v>111</v>
      </c>
      <c r="I39" s="1" t="s">
        <v>64</v>
      </c>
    </row>
    <row r="40" spans="1:26" ht="15.75" customHeight="1" x14ac:dyDescent="0.25">
      <c r="A40" s="1" t="s">
        <v>16</v>
      </c>
      <c r="B40" s="1" t="s">
        <v>17</v>
      </c>
      <c r="C40" s="1" t="s">
        <v>112</v>
      </c>
      <c r="D40" s="3" t="s">
        <v>12</v>
      </c>
      <c r="E40" s="1" t="str">
        <f>CONCATENATE(Operadores!$B40," ",Operadores!$C40)</f>
        <v>Chile SVC AntoGoLive</v>
      </c>
      <c r="F40" s="1" t="str">
        <f>Rutas!$A$2&amp;"Bases\"&amp;G40</f>
        <v>G:\Shared drives\script_MLA_contabilidad_0004\Reporting\Provision de Operadores - RPA\Bases\Base SVC Chile [mm.aa].xlsx</v>
      </c>
      <c r="G40" s="1" t="s">
        <v>25</v>
      </c>
      <c r="H40" s="1" t="s">
        <v>113</v>
      </c>
      <c r="I40" s="1" t="s">
        <v>21</v>
      </c>
    </row>
    <row r="41" spans="1:26" ht="15.75" customHeight="1" x14ac:dyDescent="0.25">
      <c r="A41" s="1" t="s">
        <v>16</v>
      </c>
      <c r="B41" s="1" t="s">
        <v>17</v>
      </c>
      <c r="C41" s="1" t="s">
        <v>114</v>
      </c>
      <c r="D41" s="3" t="s">
        <v>12</v>
      </c>
      <c r="E41" s="1" t="str">
        <f>CONCATENATE(Operadores!$B41," ",Operadores!$C41)</f>
        <v>Chile SVC Antofagasta</v>
      </c>
      <c r="F41" s="1" t="str">
        <f>Rutas!$A$2&amp;"Bases\"&amp;G41</f>
        <v>G:\Shared drives\script_MLA_contabilidad_0004\Reporting\Provision de Operadores - RPA\Bases\Base SVC Chile [mm.aa].xlsx</v>
      </c>
      <c r="G41" s="1" t="s">
        <v>25</v>
      </c>
      <c r="H41" s="1" t="s">
        <v>115</v>
      </c>
      <c r="I41" s="1" t="s">
        <v>21</v>
      </c>
    </row>
    <row r="42" spans="1:26" ht="15.75" customHeight="1" x14ac:dyDescent="0.25">
      <c r="A42" s="1" t="s">
        <v>16</v>
      </c>
      <c r="B42" s="1" t="s">
        <v>17</v>
      </c>
      <c r="C42" s="1" t="s">
        <v>116</v>
      </c>
      <c r="D42" s="3" t="s">
        <v>12</v>
      </c>
      <c r="E42" s="1" t="str">
        <f>CONCATENATE(Operadores!$B42," ",Operadores!$C42)</f>
        <v>Chile SVC ConcepGoLive</v>
      </c>
      <c r="F42" s="1" t="str">
        <f>Rutas!$A$2&amp;"Bases\"&amp;G42</f>
        <v>G:\Shared drives\script_MLA_contabilidad_0004\Reporting\Provision de Operadores - RPA\Bases\Base SVC Chile [mm.aa].xlsx</v>
      </c>
      <c r="G42" s="1" t="s">
        <v>25</v>
      </c>
      <c r="H42" s="1" t="s">
        <v>117</v>
      </c>
      <c r="I42" s="1" t="s">
        <v>21</v>
      </c>
    </row>
    <row r="43" spans="1:26" ht="15.75" customHeight="1" x14ac:dyDescent="0.25">
      <c r="A43" s="1" t="s">
        <v>16</v>
      </c>
      <c r="B43" s="1" t="s">
        <v>17</v>
      </c>
      <c r="C43" s="1" t="s">
        <v>118</v>
      </c>
      <c r="D43" s="3" t="s">
        <v>12</v>
      </c>
      <c r="E43" s="1" t="str">
        <f>CONCATENATE(Operadores!$B43," ",Operadores!$C43)</f>
        <v>Chile SVC CoqGoLive</v>
      </c>
      <c r="F43" s="1" t="str">
        <f>Rutas!$A$2&amp;"Bases\"&amp;G43</f>
        <v>G:\Shared drives\script_MLA_contabilidad_0004\Reporting\Provision de Operadores - RPA\Bases\Base SVC Chile [mm.aa].xlsx</v>
      </c>
      <c r="G43" s="1" t="s">
        <v>25</v>
      </c>
      <c r="H43" s="1" t="s">
        <v>119</v>
      </c>
      <c r="I43" s="1" t="s">
        <v>21</v>
      </c>
    </row>
    <row r="44" spans="1:26" ht="15.75" customHeight="1" x14ac:dyDescent="0.25">
      <c r="A44" s="1" t="s">
        <v>16</v>
      </c>
      <c r="B44" s="1" t="s">
        <v>17</v>
      </c>
      <c r="C44" s="1" t="s">
        <v>120</v>
      </c>
      <c r="D44" s="3" t="s">
        <v>12</v>
      </c>
      <c r="E44" s="1" t="str">
        <f>CONCATENATE(Operadores!$B44," ",Operadores!$C44)</f>
        <v>Chile SVC RancaGoLive</v>
      </c>
      <c r="F44" s="1" t="str">
        <f>Rutas!$A$2&amp;"Bases\"&amp;G44</f>
        <v>G:\Shared drives\script_MLA_contabilidad_0004\Reporting\Provision de Operadores - RPA\Bases\Base SVC Chile [mm.aa].xlsx</v>
      </c>
      <c r="G44" s="1" t="s">
        <v>25</v>
      </c>
      <c r="H44" s="1" t="s">
        <v>121</v>
      </c>
      <c r="I44" s="1" t="s">
        <v>21</v>
      </c>
    </row>
    <row r="45" spans="1:26" ht="15.75" customHeight="1" x14ac:dyDescent="0.25">
      <c r="A45" s="1" t="s">
        <v>16</v>
      </c>
      <c r="B45" s="1" t="s">
        <v>17</v>
      </c>
      <c r="C45" s="1" t="s">
        <v>122</v>
      </c>
      <c r="D45" s="3" t="s">
        <v>12</v>
      </c>
      <c r="E45" s="1" t="str">
        <f>CONCATENATE(Operadores!$B45," ",Operadores!$C45)</f>
        <v>Chile SVC Renca1_StartUp</v>
      </c>
      <c r="F45" s="1" t="str">
        <f>Rutas!$A$2&amp;"Bases\"&amp;G45</f>
        <v>G:\Shared drives\script_MLA_contabilidad_0004\Reporting\Provision de Operadores - RPA\Bases\Base SVC Chile [mm.aa].xlsx</v>
      </c>
      <c r="G45" s="1" t="s">
        <v>25</v>
      </c>
      <c r="H45" s="1" t="s">
        <v>123</v>
      </c>
      <c r="I45" s="1" t="s">
        <v>21</v>
      </c>
    </row>
    <row r="46" spans="1:26" ht="15.75" customHeight="1" x14ac:dyDescent="0.25">
      <c r="A46" s="1" t="s">
        <v>16</v>
      </c>
      <c r="B46" s="1" t="s">
        <v>17</v>
      </c>
      <c r="C46" s="1" t="s">
        <v>124</v>
      </c>
      <c r="D46" s="3" t="s">
        <v>12</v>
      </c>
      <c r="E46" s="1" t="str">
        <f>CONCATENATE(Operadores!$B46," ",Operadores!$C46)</f>
        <v>Chile SVC Renca2_StartUp</v>
      </c>
      <c r="F46" s="1" t="str">
        <f>Rutas!$A$2&amp;"Bases\"&amp;G46</f>
        <v>G:\Shared drives\script_MLA_contabilidad_0004\Reporting\Provision de Operadores - RPA\Bases\Base SVC Chile [mm.aa].xlsx</v>
      </c>
      <c r="G46" s="1" t="s">
        <v>25</v>
      </c>
      <c r="H46" s="1" t="s">
        <v>125</v>
      </c>
      <c r="I46" s="1" t="s">
        <v>21</v>
      </c>
    </row>
    <row r="47" spans="1:26" ht="15.75" customHeight="1" x14ac:dyDescent="0.25">
      <c r="A47" s="1" t="s">
        <v>16</v>
      </c>
      <c r="B47" s="1" t="s">
        <v>59</v>
      </c>
      <c r="C47" s="1" t="s">
        <v>126</v>
      </c>
      <c r="D47" s="3" t="s">
        <v>61</v>
      </c>
      <c r="E47" s="1" t="str">
        <f>CONCATENATE(Operadores!$B47," ",Operadores!$C47)</f>
        <v>Brasil FBM Jordanesia</v>
      </c>
      <c r="F47" s="1" t="str">
        <f>Rutas!$A$2&amp;"Bases\"&amp;G47</f>
        <v>G:\Shared drives\script_MLA_contabilidad_0004\Reporting\Provision de Operadores - RPA\Bases\Base FF Brasil [mm.aa].xlsx</v>
      </c>
      <c r="G47" s="1" t="s">
        <v>90</v>
      </c>
      <c r="H47" s="1" t="s">
        <v>127</v>
      </c>
      <c r="I47" s="1" t="s">
        <v>64</v>
      </c>
    </row>
    <row r="48" spans="1:26" ht="15.75" customHeight="1" x14ac:dyDescent="0.25">
      <c r="A48" s="1" t="s">
        <v>38</v>
      </c>
      <c r="B48" s="1" t="s">
        <v>39</v>
      </c>
      <c r="C48" s="1" t="s">
        <v>128</v>
      </c>
      <c r="D48" s="3" t="s">
        <v>12</v>
      </c>
      <c r="E48" s="1" t="str">
        <f>CONCATENATE(Operadores!$B48," ",Operadores!$C48)</f>
        <v>Colombia XD Medellin</v>
      </c>
      <c r="F48" s="1" t="str">
        <f>Rutas!$A$2&amp;"Bases\"&amp;G48</f>
        <v>G:\Shared drives\script_MLA_contabilidad_0004\Reporting\Provision de Operadores - RPA\Bases\Base XD Colombia [mm.aa].xlsx</v>
      </c>
      <c r="G48" s="1" t="s">
        <v>55</v>
      </c>
      <c r="H48" s="1" t="s">
        <v>51</v>
      </c>
      <c r="I48" s="1" t="s">
        <v>42</v>
      </c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1" t="s">
        <v>96</v>
      </c>
      <c r="B49" s="1" t="s">
        <v>97</v>
      </c>
      <c r="C49" s="1" t="s">
        <v>129</v>
      </c>
      <c r="D49" s="3" t="s">
        <v>99</v>
      </c>
      <c r="E49" s="1" t="str">
        <f>CONCATENATE(Operadores!$B49," ",Operadores!$C49)</f>
        <v>Argentina SVC Rosario</v>
      </c>
      <c r="F49" s="1" t="str">
        <f>Rutas!$A$2&amp;"Bases\"&amp;G49</f>
        <v>G:\Shared drives\script_MLA_contabilidad_0004\Reporting\Provision de Operadores - RPA\Bases\Base SVC Argentina [mm.aa].xlsx</v>
      </c>
      <c r="G49" s="1" t="s">
        <v>100</v>
      </c>
      <c r="H49" s="1" t="s">
        <v>130</v>
      </c>
      <c r="I49" s="1" t="s">
        <v>102</v>
      </c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1" t="s">
        <v>16</v>
      </c>
      <c r="B50" s="1" t="s">
        <v>17</v>
      </c>
      <c r="C50" s="1" t="s">
        <v>131</v>
      </c>
      <c r="D50" s="3" t="s">
        <v>12</v>
      </c>
      <c r="E50" s="1" t="str">
        <f>CONCATENATE(Operadores!$B50," ",Operadores!$C50)</f>
        <v>Chile SVC Chillan</v>
      </c>
      <c r="F50" s="1" t="str">
        <f>Rutas!$A$2&amp;"Bases\"&amp;G50</f>
        <v>G:\Shared drives\script_MLA_contabilidad_0004\Reporting\Provision de Operadores - RPA\Bases\Base SVC Chile [mm.aa].xlsx</v>
      </c>
      <c r="G50" s="1" t="s">
        <v>25</v>
      </c>
      <c r="H50" s="1" t="s">
        <v>132</v>
      </c>
      <c r="I50" s="1" t="s">
        <v>21</v>
      </c>
    </row>
    <row r="51" spans="1:26" ht="15.75" customHeight="1" x14ac:dyDescent="0.25">
      <c r="A51" s="1" t="s">
        <v>16</v>
      </c>
      <c r="B51" s="1" t="s">
        <v>17</v>
      </c>
      <c r="C51" s="1" t="s">
        <v>133</v>
      </c>
      <c r="D51" s="3" t="s">
        <v>12</v>
      </c>
      <c r="E51" s="1" t="str">
        <f>CONCATENATE(Operadores!$B51," ",Operadores!$C51)</f>
        <v>Chile SVC ChillGoLive</v>
      </c>
      <c r="F51" s="1" t="str">
        <f>Rutas!$A$2&amp;"Bases\"&amp;G51</f>
        <v>G:\Shared drives\script_MLA_contabilidad_0004\Reporting\Provision de Operadores - RPA\Bases\Base SVC Chile [mm.aa].xlsx</v>
      </c>
      <c r="G51" s="1" t="s">
        <v>25</v>
      </c>
      <c r="H51" s="1" t="s">
        <v>134</v>
      </c>
      <c r="I51" s="1" t="s">
        <v>21</v>
      </c>
    </row>
    <row r="52" spans="1:26" ht="15.75" customHeight="1" x14ac:dyDescent="0.25">
      <c r="A52" s="1" t="s">
        <v>16</v>
      </c>
      <c r="B52" s="1" t="s">
        <v>17</v>
      </c>
      <c r="C52" s="1" t="s">
        <v>135</v>
      </c>
      <c r="D52" s="3" t="s">
        <v>12</v>
      </c>
      <c r="E52" s="1" t="str">
        <f>CONCATENATE(Operadores!$B52," ",Operadores!$C52)</f>
        <v>Chile SVC Talca</v>
      </c>
      <c r="F52" s="1" t="str">
        <f>Rutas!$A$2&amp;"Bases\"&amp;G52</f>
        <v>G:\Shared drives\script_MLA_contabilidad_0004\Reporting\Provision de Operadores - RPA\Bases\Base SVC Chile [mm.aa].xlsx</v>
      </c>
      <c r="G52" s="1" t="s">
        <v>25</v>
      </c>
      <c r="H52" s="1" t="s">
        <v>136</v>
      </c>
      <c r="I52" s="1" t="s">
        <v>21</v>
      </c>
    </row>
    <row r="53" spans="1:26" ht="15.75" customHeight="1" x14ac:dyDescent="0.25">
      <c r="A53" s="1" t="s">
        <v>16</v>
      </c>
      <c r="B53" s="1" t="s">
        <v>17</v>
      </c>
      <c r="C53" s="1" t="s">
        <v>137</v>
      </c>
      <c r="D53" s="3" t="s">
        <v>12</v>
      </c>
      <c r="E53" s="1" t="str">
        <f>CONCATENATE(Operadores!$B53," ",Operadores!$C53)</f>
        <v>Chile SVC TalcGoLive</v>
      </c>
      <c r="F53" s="1" t="str">
        <f>Rutas!$A$2&amp;"Bases\"&amp;G53</f>
        <v>G:\Shared drives\script_MLA_contabilidad_0004\Reporting\Provision de Operadores - RPA\Bases\Base SVC Chile [mm.aa].xlsx</v>
      </c>
      <c r="G53" s="1" t="s">
        <v>25</v>
      </c>
      <c r="H53" s="1" t="s">
        <v>138</v>
      </c>
      <c r="I53" s="1" t="s">
        <v>21</v>
      </c>
    </row>
    <row r="54" spans="1:26" ht="15.75" customHeight="1" x14ac:dyDescent="0.25">
      <c r="A54" s="1" t="s">
        <v>16</v>
      </c>
      <c r="B54" s="1" t="s">
        <v>17</v>
      </c>
      <c r="C54" s="1" t="s">
        <v>139</v>
      </c>
      <c r="D54" s="3" t="s">
        <v>12</v>
      </c>
      <c r="E54" s="1" t="str">
        <f>CONCATENATE(Operadores!$B54," ",Operadores!$C54)</f>
        <v>Chile SVC Puerto Montt</v>
      </c>
      <c r="F54" s="1" t="str">
        <f>Rutas!$A$2&amp;"Bases\"&amp;G54</f>
        <v>G:\Shared drives\script_MLA_contabilidad_0004\Reporting\Provision de Operadores - RPA\Bases\Base SVC Chile [mm.aa].xlsx</v>
      </c>
      <c r="G54" s="1" t="s">
        <v>25</v>
      </c>
      <c r="H54" s="1" t="s">
        <v>140</v>
      </c>
      <c r="I54" s="1" t="s">
        <v>21</v>
      </c>
    </row>
    <row r="55" spans="1:26" ht="15.75" customHeight="1" x14ac:dyDescent="0.25">
      <c r="A55" s="1" t="s">
        <v>16</v>
      </c>
      <c r="B55" s="1" t="s">
        <v>17</v>
      </c>
      <c r="C55" s="1" t="s">
        <v>141</v>
      </c>
      <c r="D55" s="3" t="s">
        <v>12</v>
      </c>
      <c r="E55" s="1" t="str">
        <f>CONCATENATE(Operadores!$B55," ",Operadores!$C55)</f>
        <v>Chile SVC PuertGoLive</v>
      </c>
      <c r="F55" s="1" t="str">
        <f>Rutas!$A$2&amp;"Bases\"&amp;G55</f>
        <v>G:\Shared drives\script_MLA_contabilidad_0004\Reporting\Provision de Operadores - RPA\Bases\Base SVC Chile [mm.aa].xlsx</v>
      </c>
      <c r="G55" s="1" t="s">
        <v>25</v>
      </c>
      <c r="H55" s="1" t="s">
        <v>142</v>
      </c>
      <c r="I55" s="1" t="s">
        <v>21</v>
      </c>
    </row>
    <row r="56" spans="1:26" ht="15.75" customHeight="1" x14ac:dyDescent="0.25">
      <c r="A56" s="2" t="s">
        <v>58</v>
      </c>
      <c r="B56" s="2" t="s">
        <v>59</v>
      </c>
      <c r="C56" s="1" t="s">
        <v>143</v>
      </c>
      <c r="D56" s="3" t="s">
        <v>61</v>
      </c>
      <c r="E56" s="1" t="str">
        <f>CONCATENATE(Operadores!$B56," ",Operadores!$C56)</f>
        <v>Brasil XD Franca</v>
      </c>
      <c r="F56" s="1" t="str">
        <f>Rutas!$A$2&amp;"Bases\"&amp;G56</f>
        <v>G:\Shared drives\script_MLA_contabilidad_0004\Reporting\Provision de Operadores - RPA\Bases\Base XD Brasil [mm.aa].xlsx</v>
      </c>
      <c r="G56" s="1" t="s">
        <v>62</v>
      </c>
      <c r="H56" s="2" t="s">
        <v>144</v>
      </c>
      <c r="I56" s="2" t="s">
        <v>64</v>
      </c>
    </row>
    <row r="57" spans="1:26" ht="15.75" customHeight="1" x14ac:dyDescent="0.25">
      <c r="A57" s="1" t="s">
        <v>96</v>
      </c>
      <c r="B57" s="1" t="s">
        <v>97</v>
      </c>
      <c r="C57" s="1" t="s">
        <v>145</v>
      </c>
      <c r="D57" s="3" t="s">
        <v>99</v>
      </c>
      <c r="E57" s="1" t="str">
        <f>CONCATENATE(Operadores!$B57," ",Operadores!$C57)</f>
        <v>Argentina SVC La Plata</v>
      </c>
      <c r="F57" s="1" t="str">
        <f>Rutas!$A$2&amp;"Bases\"&amp;G57</f>
        <v>G:\Shared drives\script_MLA_contabilidad_0004\Reporting\Provision de Operadores - RPA\Bases\Base SVC Argentina [mm.aa].xlsx</v>
      </c>
      <c r="G57" s="1" t="s">
        <v>100</v>
      </c>
      <c r="H57" s="1" t="s">
        <v>146</v>
      </c>
      <c r="I57" s="1" t="s">
        <v>102</v>
      </c>
    </row>
    <row r="58" spans="1:26" ht="15.75" customHeight="1" x14ac:dyDescent="0.25">
      <c r="A58" s="1" t="s">
        <v>96</v>
      </c>
      <c r="B58" s="1" t="s">
        <v>97</v>
      </c>
      <c r="C58" s="1" t="s">
        <v>147</v>
      </c>
      <c r="D58" s="3" t="s">
        <v>99</v>
      </c>
      <c r="E58" s="1" t="str">
        <f>CONCATENATE(Operadores!$B58," ",Operadores!$C58)</f>
        <v>Argentina XD Rosario</v>
      </c>
      <c r="F58" s="1" t="str">
        <f>Rutas!$A$2&amp;"Bases\"&amp;G58</f>
        <v>G:\Shared drives\script_MLA_contabilidad_0004\Reporting\Provision de Operadores - RPA\Bases\Base XD Argentina [mm.aa].xlsx</v>
      </c>
      <c r="G58" s="1" t="s">
        <v>148</v>
      </c>
      <c r="H58" s="1" t="s">
        <v>130</v>
      </c>
      <c r="I58" s="1" t="s">
        <v>102</v>
      </c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1" t="s">
        <v>96</v>
      </c>
      <c r="B59" s="1" t="s">
        <v>97</v>
      </c>
      <c r="C59" s="1" t="s">
        <v>149</v>
      </c>
      <c r="D59" s="3" t="s">
        <v>99</v>
      </c>
      <c r="E59" s="1" t="str">
        <f>CONCATENATE(Operadores!$B59," ",Operadores!$C59)</f>
        <v>Argentina XD Cordoba</v>
      </c>
      <c r="F59" s="1" t="str">
        <f>Rutas!$A$2&amp;"Bases\"&amp;G59</f>
        <v>G:\Shared drives\script_MLA_contabilidad_0004\Reporting\Provision de Operadores - RPA\Bases\Base XD Argentina [mm.aa].xlsx</v>
      </c>
      <c r="G59" s="7" t="s">
        <v>148</v>
      </c>
      <c r="H59" s="1" t="s">
        <v>150</v>
      </c>
      <c r="I59" s="1" t="s">
        <v>102</v>
      </c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1" t="s">
        <v>96</v>
      </c>
      <c r="B60" s="1" t="s">
        <v>97</v>
      </c>
      <c r="C60" s="1" t="s">
        <v>151</v>
      </c>
      <c r="D60" s="3" t="s">
        <v>99</v>
      </c>
      <c r="E60" s="1" t="str">
        <f>CONCATENATE(Operadores!$B60," ",Operadores!$C60)</f>
        <v>Argentina SVC Cordoba</v>
      </c>
      <c r="F60" s="1" t="str">
        <f>Rutas!$A$2&amp;"Bases\"&amp;G60</f>
        <v>G:\Shared drives\script_MLA_contabilidad_0004\Reporting\Provision de Operadores - RPA\Bases\Base SVC Argentina [mm.aa].xlsx</v>
      </c>
      <c r="G60" s="1" t="s">
        <v>100</v>
      </c>
      <c r="H60" s="1" t="s">
        <v>150</v>
      </c>
      <c r="I60" s="1" t="s">
        <v>102</v>
      </c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1" t="s">
        <v>38</v>
      </c>
      <c r="B61" s="1" t="s">
        <v>39</v>
      </c>
      <c r="C61" s="1" t="s">
        <v>152</v>
      </c>
      <c r="D61" s="3" t="s">
        <v>12</v>
      </c>
      <c r="E61" s="1" t="str">
        <f>CONCATENATE(Operadores!$B61," ",Operadores!$C61)</f>
        <v>Colombia SVC Ibague</v>
      </c>
      <c r="F61" s="1" t="str">
        <f>Rutas!$A$2&amp;"Bases\"&amp;G61</f>
        <v>G:\Shared drives\script_MLA_contabilidad_0004\Reporting\Provision de Operadores - RPA\Bases\Base SVC Colombia [mm.aa].xlsx</v>
      </c>
      <c r="G61" s="1" t="s">
        <v>44</v>
      </c>
      <c r="H61" s="1" t="s">
        <v>153</v>
      </c>
      <c r="I61" s="1" t="s">
        <v>42</v>
      </c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1" t="s">
        <v>16</v>
      </c>
      <c r="B62" s="1" t="s">
        <v>17</v>
      </c>
      <c r="C62" s="1" t="s">
        <v>154</v>
      </c>
      <c r="D62" s="3" t="s">
        <v>12</v>
      </c>
      <c r="E62" s="1" t="str">
        <f>CONCATENATE(Operadores!$B62," ",Operadores!$C62)</f>
        <v>Chile SVC Copiapo</v>
      </c>
      <c r="F62" s="1" t="str">
        <f>Rutas!$A$2&amp;"Bases\"&amp;G62</f>
        <v>G:\Shared drives\script_MLA_contabilidad_0004\Reporting\Provision de Operadores - RPA\Bases\Base SVC Chile [mm.aa].xlsx</v>
      </c>
      <c r="G62" s="1" t="s">
        <v>25</v>
      </c>
      <c r="H62" s="1" t="s">
        <v>155</v>
      </c>
      <c r="I62" s="1" t="s">
        <v>21</v>
      </c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1" t="s">
        <v>16</v>
      </c>
      <c r="B63" s="1" t="s">
        <v>17</v>
      </c>
      <c r="C63" s="1" t="s">
        <v>156</v>
      </c>
      <c r="D63" s="3" t="s">
        <v>12</v>
      </c>
      <c r="E63" s="1" t="str">
        <f>CONCATENATE(Operadores!$B63," ",Operadores!$C63)</f>
        <v>Chile SVC CopiGoLive</v>
      </c>
      <c r="F63" s="1" t="str">
        <f>Rutas!$A$2&amp;"Bases\"&amp;G63</f>
        <v>G:\Shared drives\script_MLA_contabilidad_0004\Reporting\Provision de Operadores - RPA\Bases\Base SVC Chile [mm.aa].xlsx</v>
      </c>
      <c r="G63" s="1" t="s">
        <v>25</v>
      </c>
      <c r="H63" s="1" t="s">
        <v>157</v>
      </c>
      <c r="I63" s="1" t="s">
        <v>21</v>
      </c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1" t="s">
        <v>96</v>
      </c>
      <c r="B64" s="1" t="s">
        <v>39</v>
      </c>
      <c r="C64" s="1" t="s">
        <v>158</v>
      </c>
      <c r="D64" s="3" t="s">
        <v>12</v>
      </c>
      <c r="E64" s="1" t="str">
        <f>CONCATENATE(Operadores!$B64," ",Operadores!$C64)</f>
        <v>Colombia SVC Barranquilla</v>
      </c>
      <c r="F64" s="1" t="str">
        <f>Rutas!$A$2&amp;"Bases\"&amp;G64</f>
        <v>G:\Shared drives\script_MLA_contabilidad_0004\Reporting\Provision de Operadores - RPA\Bases\Base SVC Colombia [mm.aa].xlsx</v>
      </c>
      <c r="G64" s="1" t="s">
        <v>44</v>
      </c>
      <c r="H64" s="1" t="s">
        <v>159</v>
      </c>
      <c r="I64" s="1" t="s">
        <v>102</v>
      </c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1" t="s">
        <v>96</v>
      </c>
      <c r="B65" s="1" t="s">
        <v>39</v>
      </c>
      <c r="C65" s="1" t="s">
        <v>160</v>
      </c>
      <c r="D65" s="3" t="s">
        <v>12</v>
      </c>
      <c r="E65" s="1" t="str">
        <f>CONCATENATE(Operadores!$B65," ",Operadores!$C65)</f>
        <v>Colombia SVC Cartagena</v>
      </c>
      <c r="F65" s="1" t="str">
        <f>Rutas!$A$2&amp;"Bases\"&amp;G65</f>
        <v>G:\Shared drives\script_MLA_contabilidad_0004\Reporting\Provision de Operadores - RPA\Bases\Base SVC Colombia [mm.aa].xlsx</v>
      </c>
      <c r="G65" s="1" t="s">
        <v>44</v>
      </c>
      <c r="H65" s="1" t="s">
        <v>161</v>
      </c>
      <c r="I65" s="1" t="s">
        <v>102</v>
      </c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1" t="s">
        <v>38</v>
      </c>
      <c r="B66" s="1" t="s">
        <v>39</v>
      </c>
      <c r="C66" s="1" t="s">
        <v>162</v>
      </c>
      <c r="D66" s="3" t="s">
        <v>12</v>
      </c>
      <c r="E66" s="8" t="str">
        <f>CONCATENATE(Operadores!$B66," ",Operadores!$C66)</f>
        <v>Colombia SVC Burcaramanga</v>
      </c>
      <c r="F66" s="1" t="str">
        <f>Rutas!$A$2&amp;"Bases\"&amp;G66</f>
        <v>G:\Shared drives\script_MLA_contabilidad_0004\Reporting\Provision de Operadores - RPA\Bases\Base SVC Colombia [mm.aa].xlsx</v>
      </c>
      <c r="G66" s="1" t="s">
        <v>44</v>
      </c>
      <c r="H66" s="1" t="s">
        <v>163</v>
      </c>
      <c r="I66" s="1" t="s">
        <v>42</v>
      </c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1" t="s">
        <v>16</v>
      </c>
      <c r="B67" s="1" t="s">
        <v>17</v>
      </c>
      <c r="C67" s="1" t="s">
        <v>164</v>
      </c>
      <c r="D67" s="3" t="s">
        <v>12</v>
      </c>
      <c r="E67" s="1" t="str">
        <f>CONCATENATE(Operadores!$B67," ",Operadores!$C67)</f>
        <v>Chile SVC Temuco</v>
      </c>
      <c r="F67" s="1" t="str">
        <f>Rutas!$A$2&amp;"Bases\"&amp;G67</f>
        <v>G:\Shared drives\script_MLA_contabilidad_0004\Reporting\Provision de Operadores - RPA\Bases\Base SVC Chile [mm.aa].xlsx</v>
      </c>
      <c r="G67" s="1" t="s">
        <v>25</v>
      </c>
      <c r="H67" s="1" t="s">
        <v>165</v>
      </c>
      <c r="I67" s="1" t="s">
        <v>21</v>
      </c>
    </row>
    <row r="68" spans="1:26" ht="15.75" customHeight="1" x14ac:dyDescent="0.25">
      <c r="A68" s="1" t="s">
        <v>16</v>
      </c>
      <c r="B68" s="1" t="s">
        <v>17</v>
      </c>
      <c r="C68" s="1" t="s">
        <v>166</v>
      </c>
      <c r="D68" s="3" t="s">
        <v>12</v>
      </c>
      <c r="E68" s="1" t="str">
        <f>CONCATENATE(Operadores!$B68," ",Operadores!$C68)</f>
        <v>Chile SVC TemGoLive</v>
      </c>
      <c r="F68" s="1" t="str">
        <f>Rutas!$A$2&amp;"Bases\"&amp;G68</f>
        <v>G:\Shared drives\script_MLA_contabilidad_0004\Reporting\Provision de Operadores - RPA\Bases\Base SVC Chile [mm.aa].xlsx</v>
      </c>
      <c r="G68" s="1" t="s">
        <v>25</v>
      </c>
      <c r="H68" s="1" t="s">
        <v>167</v>
      </c>
      <c r="I68" s="1" t="s">
        <v>21</v>
      </c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1" t="s">
        <v>16</v>
      </c>
      <c r="B69" s="1" t="s">
        <v>17</v>
      </c>
      <c r="C69" s="1" t="s">
        <v>168</v>
      </c>
      <c r="D69" s="3" t="s">
        <v>12</v>
      </c>
      <c r="E69" s="1" t="str">
        <f>CONCATENATE(Operadores!$B69," ",Operadores!$C69)</f>
        <v>Chile SVC Los Angeles</v>
      </c>
      <c r="F69" s="1" t="str">
        <f>Rutas!$A$2&amp;"Bases\"&amp;G69</f>
        <v>G:\Shared drives\script_MLA_contabilidad_0004\Reporting\Provision de Operadores - RPA\Bases\Base SVC Chile [mm.aa].xlsx</v>
      </c>
      <c r="G69" s="1" t="s">
        <v>25</v>
      </c>
      <c r="H69" s="1" t="s">
        <v>169</v>
      </c>
      <c r="I69" s="1" t="s">
        <v>21</v>
      </c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1" t="s">
        <v>16</v>
      </c>
      <c r="B70" s="1" t="s">
        <v>17</v>
      </c>
      <c r="C70" s="1" t="s">
        <v>170</v>
      </c>
      <c r="D70" s="3" t="s">
        <v>12</v>
      </c>
      <c r="E70" s="1" t="str">
        <f>CONCATENATE(Operadores!$B70," ",Operadores!$C70)</f>
        <v>Chile SVC Viña del Mar</v>
      </c>
      <c r="F70" s="1" t="str">
        <f>Rutas!$A$2&amp;"Bases\"&amp;G70</f>
        <v>G:\Shared drives\script_MLA_contabilidad_0004\Reporting\Provision de Operadores - RPA\Bases\Base SVC Chile [mm.aa].xlsx</v>
      </c>
      <c r="G70" s="1" t="s">
        <v>25</v>
      </c>
      <c r="H70" s="1" t="s">
        <v>171</v>
      </c>
      <c r="I70" s="1" t="s">
        <v>21</v>
      </c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1" t="s">
        <v>16</v>
      </c>
      <c r="B71" s="1" t="s">
        <v>17</v>
      </c>
      <c r="C71" s="1" t="s">
        <v>172</v>
      </c>
      <c r="D71" s="3" t="s">
        <v>12</v>
      </c>
      <c r="E71" s="1" t="str">
        <f>CONCATENATE(Operadores!$B71," ",Operadores!$C71)</f>
        <v>Chile SVC ViñaGoLive</v>
      </c>
      <c r="F71" s="1" t="str">
        <f>Rutas!$A$2&amp;"Bases\"&amp;G71</f>
        <v>G:\Shared drives\script_MLA_contabilidad_0004\Reporting\Provision de Operadores - RPA\Bases\Base SVC Chile [mm.aa].xlsx</v>
      </c>
      <c r="G71" s="1" t="s">
        <v>25</v>
      </c>
      <c r="H71" s="1" t="s">
        <v>173</v>
      </c>
      <c r="I71" s="1" t="s">
        <v>21</v>
      </c>
      <c r="J71" s="9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1" t="s">
        <v>16</v>
      </c>
      <c r="B72" s="1" t="s">
        <v>17</v>
      </c>
      <c r="C72" s="1" t="s">
        <v>174</v>
      </c>
      <c r="D72" s="3" t="s">
        <v>12</v>
      </c>
      <c r="E72" s="1" t="str">
        <f>CONCATENATE(Operadores!$B72," ",Operadores!$C72)</f>
        <v>Chile XD Concepcion</v>
      </c>
      <c r="F72" s="1" t="str">
        <f>Rutas!$A$2&amp;"Bases\"&amp;G72</f>
        <v>G:\Shared drives\script_MLA_contabilidad_0004\Reporting\Provision de Operadores - RPA\Bases\Base XD Chile [mm.aa].xlsx</v>
      </c>
      <c r="G72" s="1" t="s">
        <v>23</v>
      </c>
      <c r="H72" s="1" t="s">
        <v>174</v>
      </c>
      <c r="I72" s="1" t="s">
        <v>21</v>
      </c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1" t="s">
        <v>16</v>
      </c>
      <c r="B73" s="1" t="s">
        <v>17</v>
      </c>
      <c r="C73" s="1" t="s">
        <v>175</v>
      </c>
      <c r="D73" s="3" t="s">
        <v>12</v>
      </c>
      <c r="E73" s="1" t="str">
        <f>CONCATENATE(Operadores!$B73," ",Operadores!$C73)</f>
        <v>Chile XD Rancagua</v>
      </c>
      <c r="F73" s="1" t="str">
        <f>Rutas!$A$2&amp;"Bases\"&amp;G73</f>
        <v>G:\Shared drives\script_MLA_contabilidad_0004\Reporting\Provision de Operadores - RPA\Bases\Base XD Chile [mm.aa].xlsx</v>
      </c>
      <c r="G73" s="1" t="s">
        <v>23</v>
      </c>
      <c r="H73" s="1" t="s">
        <v>175</v>
      </c>
      <c r="I73" s="1" t="s">
        <v>21</v>
      </c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1" t="s">
        <v>16</v>
      </c>
      <c r="B74" s="1" t="s">
        <v>17</v>
      </c>
      <c r="C74" s="1" t="s">
        <v>176</v>
      </c>
      <c r="D74" s="3" t="s">
        <v>12</v>
      </c>
      <c r="E74" s="1" t="str">
        <f>CONCATENATE(Operadores!$B74," ",Operadores!$C74)</f>
        <v>Chile XD Talca</v>
      </c>
      <c r="F74" s="1" t="str">
        <f>Rutas!$A$2&amp;"Bases\"&amp;G74</f>
        <v>G:\Shared drives\script_MLA_contabilidad_0004\Reporting\Provision de Operadores - RPA\Bases\Base XD Chile [mm.aa].xlsx</v>
      </c>
      <c r="G74" s="1" t="s">
        <v>23</v>
      </c>
      <c r="H74" s="1" t="s">
        <v>176</v>
      </c>
      <c r="I74" s="1" t="s">
        <v>21</v>
      </c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2" t="s">
        <v>96</v>
      </c>
      <c r="B75" s="2" t="s">
        <v>39</v>
      </c>
      <c r="C75" s="2" t="s">
        <v>96</v>
      </c>
      <c r="D75" s="3" t="s">
        <v>12</v>
      </c>
      <c r="E75" s="1" t="str">
        <f>CONCATENATE(Operadores!$B75," ",Operadores!$C75)</f>
        <v>Colombia Generico</v>
      </c>
      <c r="F75" s="1" t="str">
        <f>Rutas!$A$2&amp;"Bases\"&amp;G75</f>
        <v>G:\Shared drives\script_MLA_contabilidad_0004\Reporting\Provision de Operadores - RPA\Bases\Base Generica [mm.aa].xlsx</v>
      </c>
      <c r="G75" s="2" t="s">
        <v>177</v>
      </c>
      <c r="H75" s="2" t="s">
        <v>178</v>
      </c>
      <c r="I75" s="2" t="s">
        <v>102</v>
      </c>
    </row>
    <row r="76" spans="1:26" ht="15.75" customHeight="1" x14ac:dyDescent="0.25">
      <c r="A76" s="2" t="s">
        <v>96</v>
      </c>
      <c r="B76" s="2" t="s">
        <v>97</v>
      </c>
      <c r="C76" s="2" t="s">
        <v>179</v>
      </c>
      <c r="D76" s="3" t="s">
        <v>180</v>
      </c>
      <c r="E76" s="1" t="str">
        <f>CONCATENATE(Operadores!$B76," ",Operadores!$C76)</f>
        <v>Argentina Generico Rosario</v>
      </c>
      <c r="F76" s="1" t="str">
        <f>Rutas!$A$2&amp;"Bases\"&amp;G76</f>
        <v>G:\Shared drives\script_MLA_contabilidad_0004\Reporting\Provision de Operadores - RPA\Bases\Base Generica [mm.aa].xlsx</v>
      </c>
      <c r="G76" s="1" t="s">
        <v>177</v>
      </c>
      <c r="H76" s="2" t="s">
        <v>181</v>
      </c>
      <c r="I76" s="1" t="s">
        <v>102</v>
      </c>
    </row>
    <row r="77" spans="1:26" ht="15.75" customHeight="1" x14ac:dyDescent="0.25">
      <c r="A77" s="2" t="s">
        <v>182</v>
      </c>
      <c r="B77" s="2" t="s">
        <v>59</v>
      </c>
      <c r="C77" s="2" t="s">
        <v>183</v>
      </c>
      <c r="D77" s="3" t="s">
        <v>61</v>
      </c>
      <c r="E77" s="1" t="str">
        <f>CONCATENATE(Operadores!$B77," ",Operadores!$C77)</f>
        <v>Brasil XD Provisão Fatura 3PL</v>
      </c>
      <c r="F77" s="1" t="str">
        <f>Rutas!$A$2&amp;"Bases\"&amp;G77</f>
        <v>G:\Shared drives\script_MLA_contabilidad_0004\Reporting\Provision de Operadores - RPA\Bases\Base XD Brasil [mm.aa].xlsx</v>
      </c>
      <c r="G77" s="1" t="s">
        <v>62</v>
      </c>
      <c r="H77" s="1" t="s">
        <v>184</v>
      </c>
      <c r="I77" s="2"/>
    </row>
    <row r="78" spans="1:26" ht="15.75" customHeight="1" x14ac:dyDescent="0.25">
      <c r="A78" s="1" t="s">
        <v>58</v>
      </c>
      <c r="B78" s="1" t="s">
        <v>59</v>
      </c>
      <c r="C78" s="1" t="s">
        <v>185</v>
      </c>
      <c r="D78" s="3" t="s">
        <v>61</v>
      </c>
      <c r="E78" s="1" t="s">
        <v>186</v>
      </c>
      <c r="F78" s="1" t="str">
        <f>Rutas!$A$2&amp;"Bases\"&amp;G78</f>
        <v>G:\Shared drives\script_MLA_contabilidad_0004\Reporting\Provision de Operadores - RPA\Bases\Base XD Brasil [mm.aa].xlsx</v>
      </c>
      <c r="G78" s="1" t="s">
        <v>62</v>
      </c>
      <c r="H78" s="1" t="s">
        <v>68</v>
      </c>
      <c r="I78" s="2" t="s">
        <v>187</v>
      </c>
    </row>
    <row r="79" spans="1:26" ht="15.75" customHeight="1" x14ac:dyDescent="0.25">
      <c r="A79" s="1" t="s">
        <v>58</v>
      </c>
      <c r="B79" s="1" t="s">
        <v>59</v>
      </c>
      <c r="C79" s="1" t="s">
        <v>188</v>
      </c>
      <c r="D79" s="3" t="s">
        <v>61</v>
      </c>
      <c r="E79" s="1" t="s">
        <v>186</v>
      </c>
      <c r="F79" s="1" t="str">
        <f>Rutas!$A$2&amp;"Bases\"&amp;G79</f>
        <v>G:\Shared drives\script_MLA_contabilidad_0004\Reporting\Provision de Operadores - RPA\Bases\Base XD Brasil [mm.aa].xlsx</v>
      </c>
      <c r="G79" s="1" t="s">
        <v>62</v>
      </c>
      <c r="H79" s="2"/>
      <c r="I79" s="1" t="s">
        <v>187</v>
      </c>
    </row>
    <row r="80" spans="1:26" ht="15.75" customHeight="1" x14ac:dyDescent="0.25">
      <c r="A80" s="1" t="s">
        <v>58</v>
      </c>
      <c r="B80" s="1" t="s">
        <v>59</v>
      </c>
      <c r="C80" s="1" t="s">
        <v>189</v>
      </c>
      <c r="D80" s="3" t="s">
        <v>61</v>
      </c>
      <c r="E80" s="1" t="s">
        <v>186</v>
      </c>
      <c r="F80" s="1" t="str">
        <f>Rutas!$A$2&amp;"Bases\"&amp;G80</f>
        <v>G:\Shared drives\script_MLA_contabilidad_0004\Reporting\Provision de Operadores - RPA\Bases\Base XD Brasil [mm.aa].xlsx</v>
      </c>
      <c r="G80" s="1" t="s">
        <v>62</v>
      </c>
      <c r="H80" s="1" t="s">
        <v>66</v>
      </c>
      <c r="I80" s="1" t="s">
        <v>187</v>
      </c>
    </row>
    <row r="81" spans="1:26" ht="15.75" customHeight="1" x14ac:dyDescent="0.25">
      <c r="A81" s="1" t="s">
        <v>58</v>
      </c>
      <c r="B81" s="1" t="s">
        <v>59</v>
      </c>
      <c r="C81" s="1" t="s">
        <v>190</v>
      </c>
      <c r="D81" s="3" t="s">
        <v>61</v>
      </c>
      <c r="E81" s="1" t="s">
        <v>186</v>
      </c>
      <c r="F81" s="1" t="str">
        <f>Rutas!$A$2&amp;"Bases\"&amp;G81</f>
        <v>G:\Shared drives\script_MLA_contabilidad_0004\Reporting\Provision de Operadores - RPA\Bases\Base XD Brasil [mm.aa].xlsx</v>
      </c>
      <c r="G81" s="1" t="s">
        <v>62</v>
      </c>
      <c r="H81" s="1" t="s">
        <v>78</v>
      </c>
      <c r="I81" s="1" t="s">
        <v>187</v>
      </c>
    </row>
    <row r="82" spans="1:26" ht="15.75" customHeight="1" x14ac:dyDescent="0.25">
      <c r="A82" s="1" t="s">
        <v>58</v>
      </c>
      <c r="B82" s="1" t="s">
        <v>59</v>
      </c>
      <c r="C82" s="1" t="s">
        <v>191</v>
      </c>
      <c r="D82" s="3" t="s">
        <v>61</v>
      </c>
      <c r="E82" s="1" t="s">
        <v>186</v>
      </c>
      <c r="F82" s="1" t="str">
        <f>Rutas!$A$2&amp;"Bases\"&amp;G82</f>
        <v>G:\Shared drives\script_MLA_contabilidad_0004\Reporting\Provision de Operadores - RPA\Bases\Base XD Brasil [mm.aa].xlsx</v>
      </c>
      <c r="G82" s="1" t="s">
        <v>62</v>
      </c>
      <c r="H82" s="1" t="s">
        <v>86</v>
      </c>
      <c r="I82" s="1" t="s">
        <v>187</v>
      </c>
    </row>
    <row r="83" spans="1:26" ht="15.75" customHeight="1" x14ac:dyDescent="0.25">
      <c r="A83" s="1" t="s">
        <v>58</v>
      </c>
      <c r="B83" s="1" t="s">
        <v>59</v>
      </c>
      <c r="C83" s="1" t="s">
        <v>192</v>
      </c>
      <c r="D83" s="3" t="s">
        <v>61</v>
      </c>
      <c r="E83" s="1" t="s">
        <v>186</v>
      </c>
      <c r="F83" s="1" t="str">
        <f>Rutas!$A$2&amp;"Bases\"&amp;G83</f>
        <v>G:\Shared drives\script_MLA_contabilidad_0004\Reporting\Provision de Operadores - RPA\Bases\Base XD Brasil [mm.aa].xlsx</v>
      </c>
      <c r="G83" s="1" t="s">
        <v>62</v>
      </c>
      <c r="H83" s="1" t="s">
        <v>88</v>
      </c>
      <c r="I83" s="1" t="s">
        <v>187</v>
      </c>
    </row>
    <row r="84" spans="1:26" ht="15.75" customHeight="1" x14ac:dyDescent="0.25">
      <c r="A84" s="1" t="s">
        <v>58</v>
      </c>
      <c r="B84" s="1" t="s">
        <v>59</v>
      </c>
      <c r="C84" s="1" t="s">
        <v>193</v>
      </c>
      <c r="D84" s="3" t="s">
        <v>61</v>
      </c>
      <c r="E84" s="1" t="s">
        <v>186</v>
      </c>
      <c r="F84" s="1" t="str">
        <f>Rutas!$A$2&amp;"Bases\"&amp;G84</f>
        <v>G:\Shared drives\script_MLA_contabilidad_0004\Reporting\Provision de Operadores - RPA\Bases\Base XD Brasil [mm.aa].xlsx</v>
      </c>
      <c r="G84" s="1" t="s">
        <v>62</v>
      </c>
      <c r="H84" s="1" t="s">
        <v>70</v>
      </c>
      <c r="I84" s="1" t="s">
        <v>187</v>
      </c>
    </row>
    <row r="85" spans="1:26" ht="15.75" customHeight="1" x14ac:dyDescent="0.25">
      <c r="A85" s="1" t="s">
        <v>58</v>
      </c>
      <c r="B85" s="1" t="s">
        <v>59</v>
      </c>
      <c r="C85" s="1" t="s">
        <v>194</v>
      </c>
      <c r="D85" s="3" t="s">
        <v>61</v>
      </c>
      <c r="E85" s="1" t="s">
        <v>186</v>
      </c>
      <c r="F85" s="1" t="str">
        <f>Rutas!$A$2&amp;"Bases\"&amp;G85</f>
        <v>G:\Shared drives\script_MLA_contabilidad_0004\Reporting\Provision de Operadores - RPA\Bases\Base XD Brasil [mm.aa].xlsx</v>
      </c>
      <c r="G85" s="1" t="s">
        <v>62</v>
      </c>
      <c r="H85" s="1" t="s">
        <v>74</v>
      </c>
      <c r="I85" s="1" t="s">
        <v>187</v>
      </c>
    </row>
    <row r="86" spans="1:26" ht="15.75" customHeight="1" x14ac:dyDescent="0.25">
      <c r="A86" s="1" t="s">
        <v>58</v>
      </c>
      <c r="B86" s="1" t="s">
        <v>59</v>
      </c>
      <c r="C86" s="1" t="s">
        <v>195</v>
      </c>
      <c r="D86" s="3" t="s">
        <v>61</v>
      </c>
      <c r="E86" s="1" t="s">
        <v>186</v>
      </c>
      <c r="F86" s="1" t="str">
        <f>Rutas!$A$2&amp;"Bases\"&amp;G86</f>
        <v>G:\Shared drives\script_MLA_contabilidad_0004\Reporting\Provision de Operadores - RPA\Bases\Base XD Brasil [mm.aa].xlsx</v>
      </c>
      <c r="G86" s="1" t="s">
        <v>62</v>
      </c>
      <c r="H86" s="1" t="s">
        <v>63</v>
      </c>
      <c r="I86" s="1" t="s">
        <v>187</v>
      </c>
    </row>
    <row r="87" spans="1:26" ht="15.75" customHeight="1" x14ac:dyDescent="0.25">
      <c r="A87" s="1" t="s">
        <v>58</v>
      </c>
      <c r="B87" s="1" t="s">
        <v>59</v>
      </c>
      <c r="C87" s="1" t="s">
        <v>196</v>
      </c>
      <c r="D87" s="3" t="s">
        <v>61</v>
      </c>
      <c r="E87" s="1" t="s">
        <v>186</v>
      </c>
      <c r="F87" s="1" t="str">
        <f>Rutas!$A$2&amp;"Bases\"&amp;G87</f>
        <v>G:\Shared drives\script_MLA_contabilidad_0004\Reporting\Provision de Operadores - RPA\Bases\Base XD Brasil [mm.aa].xlsx</v>
      </c>
      <c r="G87" s="1" t="s">
        <v>62</v>
      </c>
      <c r="H87" s="2"/>
      <c r="I87" s="1" t="s">
        <v>187</v>
      </c>
    </row>
    <row r="88" spans="1:26" ht="15.75" customHeight="1" x14ac:dyDescent="0.25">
      <c r="A88" s="1" t="s">
        <v>58</v>
      </c>
      <c r="B88" s="1" t="s">
        <v>59</v>
      </c>
      <c r="C88" s="1" t="s">
        <v>197</v>
      </c>
      <c r="D88" s="3" t="s">
        <v>61</v>
      </c>
      <c r="E88" s="1" t="s">
        <v>186</v>
      </c>
      <c r="F88" s="1" t="str">
        <f>Rutas!$A$2&amp;"Bases\"&amp;G88</f>
        <v>G:\Shared drives\script_MLA_contabilidad_0004\Reporting\Provision de Operadores - RPA\Bases\Base XD Brasil [mm.aa].xlsx</v>
      </c>
      <c r="G88" s="1" t="s">
        <v>62</v>
      </c>
      <c r="H88" s="2"/>
      <c r="I88" s="1" t="s">
        <v>187</v>
      </c>
    </row>
    <row r="89" spans="1:26" ht="15.75" customHeight="1" x14ac:dyDescent="0.25">
      <c r="A89" s="1" t="s">
        <v>58</v>
      </c>
      <c r="B89" s="1" t="s">
        <v>59</v>
      </c>
      <c r="C89" s="1" t="s">
        <v>198</v>
      </c>
      <c r="D89" s="3" t="s">
        <v>61</v>
      </c>
      <c r="E89" s="1" t="s">
        <v>186</v>
      </c>
      <c r="F89" s="1" t="str">
        <f>Rutas!$A$2&amp;"Bases\"&amp;G89</f>
        <v>G:\Shared drives\script_MLA_contabilidad_0004\Reporting\Provision de Operadores - RPA\Bases\Base XD Brasil [mm.aa].xlsx</v>
      </c>
      <c r="G89" s="1" t="s">
        <v>62</v>
      </c>
      <c r="H89" s="1" t="s">
        <v>76</v>
      </c>
      <c r="I89" s="1" t="s">
        <v>187</v>
      </c>
    </row>
    <row r="90" spans="1:26" ht="15.75" customHeight="1" x14ac:dyDescent="0.25">
      <c r="A90" s="1" t="s">
        <v>58</v>
      </c>
      <c r="B90" s="1" t="s">
        <v>59</v>
      </c>
      <c r="C90" s="1" t="s">
        <v>199</v>
      </c>
      <c r="D90" s="3" t="s">
        <v>61</v>
      </c>
      <c r="E90" s="1" t="s">
        <v>186</v>
      </c>
      <c r="F90" s="1" t="str">
        <f>Rutas!$A$2&amp;"Bases\"&amp;G90</f>
        <v>G:\Shared drives\script_MLA_contabilidad_0004\Reporting\Provision de Operadores - RPA\Bases\Base XD Brasil [mm.aa].xlsx</v>
      </c>
      <c r="G90" s="1" t="s">
        <v>62</v>
      </c>
      <c r="H90" s="1" t="s">
        <v>84</v>
      </c>
      <c r="I90" s="1" t="s">
        <v>187</v>
      </c>
    </row>
    <row r="91" spans="1:26" ht="15.75" customHeight="1" x14ac:dyDescent="0.25">
      <c r="A91" s="1" t="s">
        <v>58</v>
      </c>
      <c r="B91" s="1" t="s">
        <v>59</v>
      </c>
      <c r="C91" s="1" t="s">
        <v>200</v>
      </c>
      <c r="D91" s="3" t="s">
        <v>61</v>
      </c>
      <c r="E91" s="1" t="s">
        <v>186</v>
      </c>
      <c r="F91" s="1" t="str">
        <f>Rutas!$A$2&amp;"Bases\"&amp;G91</f>
        <v>G:\Shared drives\script_MLA_contabilidad_0004\Reporting\Provision de Operadores - RPA\Bases\Base XD Brasil [mm.aa].xlsx</v>
      </c>
      <c r="G91" s="1" t="s">
        <v>62</v>
      </c>
      <c r="H91" s="1" t="s">
        <v>80</v>
      </c>
      <c r="I91" s="1" t="s">
        <v>187</v>
      </c>
    </row>
    <row r="92" spans="1:26" ht="15.75" customHeight="1" x14ac:dyDescent="0.25">
      <c r="A92" s="1" t="s">
        <v>58</v>
      </c>
      <c r="B92" s="1" t="s">
        <v>59</v>
      </c>
      <c r="C92" s="1" t="s">
        <v>201</v>
      </c>
      <c r="D92" s="3" t="s">
        <v>61</v>
      </c>
      <c r="E92" s="1" t="s">
        <v>186</v>
      </c>
      <c r="F92" s="1" t="str">
        <f>Rutas!$A$2&amp;"Bases\"&amp;G92</f>
        <v>G:\Shared drives\script_MLA_contabilidad_0004\Reporting\Provision de Operadores - RPA\Bases\Base XD Brasil [mm.aa].xlsx</v>
      </c>
      <c r="G92" s="1" t="s">
        <v>62</v>
      </c>
      <c r="H92" s="1" t="s">
        <v>82</v>
      </c>
      <c r="I92" s="1" t="s">
        <v>187</v>
      </c>
    </row>
    <row r="93" spans="1:26" ht="15.75" customHeight="1" x14ac:dyDescent="0.25">
      <c r="A93" s="1" t="s">
        <v>58</v>
      </c>
      <c r="B93" s="1" t="s">
        <v>59</v>
      </c>
      <c r="C93" s="1" t="s">
        <v>202</v>
      </c>
      <c r="D93" s="3" t="s">
        <v>61</v>
      </c>
      <c r="E93" s="1" t="s">
        <v>186</v>
      </c>
      <c r="F93" s="1" t="str">
        <f>Rutas!$A$2&amp;"Bases\"&amp;G93</f>
        <v>G:\Shared drives\script_MLA_contabilidad_0004\Reporting\Provision de Operadores - RPA\Bases\Base XD Brasil [mm.aa].xlsx</v>
      </c>
      <c r="G93" s="1" t="s">
        <v>62</v>
      </c>
      <c r="H93" s="1" t="s">
        <v>72</v>
      </c>
      <c r="I93" s="1" t="s">
        <v>187</v>
      </c>
    </row>
    <row r="94" spans="1:26" ht="15.75" customHeight="1" x14ac:dyDescent="0.25">
      <c r="A94" s="1" t="s">
        <v>16</v>
      </c>
      <c r="B94" s="1" t="s">
        <v>17</v>
      </c>
      <c r="C94" s="1" t="s">
        <v>203</v>
      </c>
      <c r="D94" s="3" t="s">
        <v>12</v>
      </c>
      <c r="E94" s="1" t="str">
        <f>CONCATENATE(Operadores!$B94," ",Operadores!$C94)</f>
        <v>Chile XD Temuco</v>
      </c>
      <c r="F94" s="1" t="str">
        <f>Rutas!$A$2&amp;"Bases\"&amp;G94</f>
        <v>G:\Shared drives\script_MLA_contabilidad_0004\Reporting\Provision de Operadores - RPA\Bases\Base XD Chile [mm.aa].xlsx</v>
      </c>
      <c r="G94" s="1" t="s">
        <v>23</v>
      </c>
      <c r="H94" s="1" t="s">
        <v>203</v>
      </c>
      <c r="I94" s="1" t="s">
        <v>21</v>
      </c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customHeight="1" x14ac:dyDescent="0.25">
      <c r="A95" s="1" t="s">
        <v>16</v>
      </c>
      <c r="B95" s="1" t="s">
        <v>17</v>
      </c>
      <c r="C95" s="1" t="s">
        <v>204</v>
      </c>
      <c r="D95" s="3" t="s">
        <v>12</v>
      </c>
      <c r="E95" s="1" t="str">
        <f>CONCATENATE(Operadores!$B95," ",Operadores!$C95)</f>
        <v>Chile SVC Vallenar</v>
      </c>
      <c r="F95" s="1" t="str">
        <f>Rutas!$A$2&amp;"Bases\"&amp;G95</f>
        <v>G:\Shared drives\script_MLA_contabilidad_0004\Reporting\Provision de Operadores - RPA\Bases\Base SVC Chile [mm.aa].xlsx</v>
      </c>
      <c r="G95" s="1" t="s">
        <v>25</v>
      </c>
      <c r="H95" s="1" t="s">
        <v>205</v>
      </c>
      <c r="I95" s="1" t="s">
        <v>21</v>
      </c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customHeight="1" x14ac:dyDescent="0.25">
      <c r="A96" s="1" t="s">
        <v>16</v>
      </c>
      <c r="B96" s="1" t="s">
        <v>17</v>
      </c>
      <c r="C96" s="1" t="s">
        <v>206</v>
      </c>
      <c r="D96" s="3" t="s">
        <v>12</v>
      </c>
      <c r="E96" s="1" t="str">
        <f>CONCATENATE(Operadores!$B96," ",Operadores!$C96)</f>
        <v>Chile SVC Los Andes</v>
      </c>
      <c r="F96" s="1" t="str">
        <f>Rutas!$A$2&amp;"Bases\"&amp;G96</f>
        <v>G:\Shared drives\script_MLA_contabilidad_0004\Reporting\Provision de Operadores - RPA\Bases\Base SVC Chile [mm.aa].xlsx</v>
      </c>
      <c r="G96" s="1" t="s">
        <v>25</v>
      </c>
      <c r="H96" s="1" t="s">
        <v>207</v>
      </c>
      <c r="I96" s="1" t="s">
        <v>21</v>
      </c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customHeight="1" x14ac:dyDescent="0.25">
      <c r="A97" s="1" t="s">
        <v>16</v>
      </c>
      <c r="B97" s="1" t="s">
        <v>17</v>
      </c>
      <c r="C97" s="1" t="s">
        <v>208</v>
      </c>
      <c r="D97" s="3" t="s">
        <v>12</v>
      </c>
      <c r="E97" s="1" t="str">
        <f>CONCATENATE(Operadores!$B97," ",Operadores!$C97)</f>
        <v>Chile SVC Valdivia</v>
      </c>
      <c r="F97" s="1" t="str">
        <f>Rutas!$A$2&amp;"Bases\"&amp;G97</f>
        <v>G:\Shared drives\script_MLA_contabilidad_0004\Reporting\Provision de Operadores - RPA\Bases\Base SVC Chile [mm.aa].xlsx</v>
      </c>
      <c r="G97" s="1" t="s">
        <v>25</v>
      </c>
      <c r="H97" s="1" t="s">
        <v>209</v>
      </c>
      <c r="I97" s="1" t="s">
        <v>21</v>
      </c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customHeight="1" x14ac:dyDescent="0.25">
      <c r="A98" s="1" t="s">
        <v>16</v>
      </c>
      <c r="B98" s="1" t="s">
        <v>17</v>
      </c>
      <c r="C98" s="1" t="s">
        <v>210</v>
      </c>
      <c r="D98" s="3" t="s">
        <v>12</v>
      </c>
      <c r="E98" s="1" t="str">
        <f>CONCATENATE(Operadores!$B98," ",Operadores!$C98)</f>
        <v>Chile SVC Osorno</v>
      </c>
      <c r="F98" s="1" t="str">
        <f>Rutas!$A$2&amp;"Bases\"&amp;G98</f>
        <v>G:\Shared drives\script_MLA_contabilidad_0004\Reporting\Provision de Operadores - RPA\Bases\Base SVC Chile [mm.aa].xlsx</v>
      </c>
      <c r="G98" s="1" t="s">
        <v>25</v>
      </c>
      <c r="H98" s="1" t="s">
        <v>211</v>
      </c>
      <c r="I98" s="1" t="s">
        <v>21</v>
      </c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customHeight="1" x14ac:dyDescent="0.25">
      <c r="A99" s="1" t="s">
        <v>38</v>
      </c>
      <c r="B99" s="1" t="s">
        <v>39</v>
      </c>
      <c r="C99" s="1" t="s">
        <v>212</v>
      </c>
      <c r="D99" s="3" t="s">
        <v>12</v>
      </c>
      <c r="E99" s="1" t="str">
        <f>CONCATENATE(Operadores!$B99," ",Operadores!$C99)</f>
        <v>Colombia SVC Funza</v>
      </c>
      <c r="F99" s="1" t="str">
        <f>Rutas!$A$2&amp;"Bases\"&amp;G99</f>
        <v>G:\Shared drives\script_MLA_contabilidad_0004\Reporting\Provision de Operadores - RPA\Bases\Base SVC Colombia [mm.aa].xlsx</v>
      </c>
      <c r="G99" s="1" t="s">
        <v>44</v>
      </c>
      <c r="H99" s="1" t="s">
        <v>213</v>
      </c>
      <c r="I99" s="1" t="s">
        <v>42</v>
      </c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customHeight="1" x14ac:dyDescent="0.25">
      <c r="A100" s="1" t="s">
        <v>38</v>
      </c>
      <c r="B100" s="1" t="s">
        <v>39</v>
      </c>
      <c r="C100" s="1" t="s">
        <v>214</v>
      </c>
      <c r="D100" s="3" t="s">
        <v>12</v>
      </c>
      <c r="E100" s="1" t="str">
        <f>CONCATENATE(Operadores!$B100," ",Operadores!$C100)</f>
        <v>Colombia FBM Funza 2</v>
      </c>
      <c r="F100" s="1" t="str">
        <f>Rutas!$A$2&amp;"Bases\"&amp;G100</f>
        <v>G:\Shared drives\script_MLA_contabilidad_0004\Reporting\Provision de Operadores - RPA\Bases\Base FF Colombia [mm.aa].xlsx</v>
      </c>
      <c r="G100" s="1" t="s">
        <v>41</v>
      </c>
      <c r="H100" s="1" t="s">
        <v>215</v>
      </c>
      <c r="I100" s="1" t="s">
        <v>42</v>
      </c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customHeight="1" x14ac:dyDescent="0.25">
      <c r="A101" s="1" t="s">
        <v>16</v>
      </c>
      <c r="B101" s="1" t="s">
        <v>17</v>
      </c>
      <c r="C101" s="1" t="s">
        <v>216</v>
      </c>
      <c r="D101" s="3" t="s">
        <v>12</v>
      </c>
      <c r="E101" s="1" t="str">
        <f>CONCATENATE(Operadores!$B101," ",Operadores!$C101)</f>
        <v>Chile XD Viña del Mar</v>
      </c>
      <c r="F101" s="1" t="str">
        <f>Rutas!$A$2&amp;"Bases\"&amp;G101</f>
        <v>G:\Shared drives\script_MLA_contabilidad_0004\Reporting\Provision de Operadores - RPA\Bases\Base XD Chile [mm.aa].xlsx</v>
      </c>
      <c r="G101" s="1" t="s">
        <v>23</v>
      </c>
      <c r="H101" s="1" t="s">
        <v>171</v>
      </c>
      <c r="I101" s="1" t="s">
        <v>21</v>
      </c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customHeight="1" x14ac:dyDescent="0.25">
      <c r="A102" s="4" t="s">
        <v>16</v>
      </c>
      <c r="B102" s="4" t="s">
        <v>17</v>
      </c>
      <c r="C102" s="4" t="s">
        <v>1568</v>
      </c>
      <c r="D102" s="3" t="s">
        <v>12</v>
      </c>
      <c r="E102" s="4" t="str">
        <f>CONCATENATE(Operadores!$B102," ",Operadores!$C102)</f>
        <v>Chile SVC Calama</v>
      </c>
      <c r="F102" s="4" t="str">
        <f>Rutas!$A$2&amp;"Bases\"&amp;G102</f>
        <v>G:\Shared drives\script_MLA_contabilidad_0004\Reporting\Provision de Operadores - RPA\Bases\Base SVC Chile [mm.aa].xlsx</v>
      </c>
      <c r="G102" s="4" t="s">
        <v>25</v>
      </c>
      <c r="H102" s="4" t="s">
        <v>1569</v>
      </c>
      <c r="I102" s="4" t="s">
        <v>21</v>
      </c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x14ac:dyDescent="0.25">
      <c r="A103" s="32" t="s">
        <v>38</v>
      </c>
      <c r="B103" s="32" t="s">
        <v>39</v>
      </c>
      <c r="C103" s="49" t="s">
        <v>1589</v>
      </c>
      <c r="D103" s="3" t="s">
        <v>12</v>
      </c>
      <c r="E103" s="4" t="str">
        <f>CONCATENATE(Operadores!$B103," ",Operadores!$C103)</f>
        <v>Colombia XD Pereira</v>
      </c>
      <c r="F103" s="4" t="str">
        <f>Rutas!$A$2&amp;"Bases\"&amp;G103</f>
        <v>G:\Shared drives\script_MLA_contabilidad_0004\Reporting\Provision de Operadores - RPA\Bases\Base XD Colombia [mm.aa].xlsx</v>
      </c>
      <c r="G103" s="32" t="s">
        <v>55</v>
      </c>
      <c r="H103" s="49" t="s">
        <v>49</v>
      </c>
      <c r="I103" s="32" t="s">
        <v>42</v>
      </c>
    </row>
    <row r="104" spans="1:26" x14ac:dyDescent="0.25">
      <c r="A104" s="32" t="s">
        <v>38</v>
      </c>
      <c r="B104" s="32" t="s">
        <v>39</v>
      </c>
      <c r="C104" s="49" t="s">
        <v>1590</v>
      </c>
      <c r="D104" s="3" t="s">
        <v>12</v>
      </c>
      <c r="E104" s="4" t="str">
        <f>CONCATENATE(Operadores!$B104," ",Operadores!$C104)</f>
        <v>Colombia XD Tunja</v>
      </c>
      <c r="F104" s="4" t="str">
        <f>Rutas!$A$2&amp;"Bases\"&amp;G104</f>
        <v>G:\Shared drives\script_MLA_contabilidad_0004\Reporting\Provision de Operadores - RPA\Bases\Base XD Colombia [mm.aa].xlsx</v>
      </c>
      <c r="G104" s="32" t="s">
        <v>55</v>
      </c>
      <c r="H104" s="49" t="s">
        <v>53</v>
      </c>
      <c r="I104" s="32" t="s">
        <v>42</v>
      </c>
    </row>
    <row r="105" spans="1:26" x14ac:dyDescent="0.25">
      <c r="A105" s="32" t="s">
        <v>38</v>
      </c>
      <c r="B105" s="32" t="s">
        <v>39</v>
      </c>
      <c r="C105" s="49" t="s">
        <v>1591</v>
      </c>
      <c r="D105" s="3" t="s">
        <v>12</v>
      </c>
      <c r="E105" s="4" t="str">
        <f>CONCATENATE(Operadores!$B105," ",Operadores!$C105)</f>
        <v>Colombia XD Ibague</v>
      </c>
      <c r="F105" s="4" t="str">
        <f>Rutas!$A$2&amp;"Bases\"&amp;G105</f>
        <v>G:\Shared drives\script_MLA_contabilidad_0004\Reporting\Provision de Operadores - RPA\Bases\Base XD Colombia [mm.aa].xlsx</v>
      </c>
      <c r="G105" s="32" t="s">
        <v>55</v>
      </c>
      <c r="H105" s="49" t="s">
        <v>153</v>
      </c>
      <c r="I105" s="32" t="s">
        <v>42</v>
      </c>
    </row>
    <row r="106" spans="1:26" ht="15.75" customHeight="1" x14ac:dyDescent="0.25"/>
    <row r="107" spans="1:26" ht="15.75" customHeight="1" x14ac:dyDescent="0.25"/>
    <row r="108" spans="1:26" ht="15.75" customHeight="1" x14ac:dyDescent="0.25"/>
    <row r="109" spans="1:26" ht="15.75" customHeight="1" x14ac:dyDescent="0.25"/>
    <row r="110" spans="1:26" ht="15.75" customHeight="1" x14ac:dyDescent="0.25"/>
    <row r="111" spans="1:26" ht="15.75" customHeight="1" x14ac:dyDescent="0.25"/>
    <row r="112" spans="1:26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customSheetViews>
    <customSheetView guid="{6836CE1C-C533-4F13-B6A7-EBCB0D2F14C8}" filter="1" showAutoFilter="1">
      <pageMargins left="0.7" right="0.7" top="0.75" bottom="0.75" header="0.3" footer="0.3"/>
      <autoFilter ref="A1:I101" xr:uid="{36B515C3-115B-4370-B2F8-EE6B972A932B}">
        <filterColumn colId="1">
          <filters>
            <filter val="Argentina"/>
          </filters>
        </filterColumn>
      </autoFilter>
      <extLst>
        <ext uri="GoogleSheetsCustomDataVersion1">
          <go:sheetsCustomData xmlns:go="http://customooxmlschemas.google.com/" filterViewId="992976895"/>
        </ext>
      </extLst>
    </customSheetView>
  </customSheetViews>
  <hyperlinks>
    <hyperlink ref="D2" r:id="rId1" xr:uid="{00000000-0004-0000-0000-000000000000}"/>
    <hyperlink ref="D9" r:id="rId2" xr:uid="{00000000-0004-0000-0000-000001000000}"/>
    <hyperlink ref="D32" r:id="rId3" xr:uid="{00000000-0004-0000-0000-000002000000}"/>
    <hyperlink ref="D33" r:id="rId4" xr:uid="{00000000-0004-0000-0000-000003000000}"/>
    <hyperlink ref="D34" r:id="rId5" xr:uid="{00000000-0004-0000-0000-000004000000}"/>
    <hyperlink ref="D35" r:id="rId6" xr:uid="{00000000-0004-0000-0000-000005000000}"/>
    <hyperlink ref="D48" r:id="rId7" xr:uid="{00000000-0004-0000-0000-000006000000}"/>
    <hyperlink ref="D49" r:id="rId8" xr:uid="{00000000-0004-0000-0000-000007000000}"/>
    <hyperlink ref="D61" r:id="rId9" xr:uid="{00000000-0004-0000-0000-000008000000}"/>
    <hyperlink ref="D75" r:id="rId10" xr:uid="{00000000-0004-0000-0000-000009000000}"/>
    <hyperlink ref="D76" r:id="rId11" xr:uid="{00000000-0004-0000-0000-00000A000000}"/>
    <hyperlink ref="D99" r:id="rId12" xr:uid="{00000000-0004-0000-0000-00000B000000}"/>
    <hyperlink ref="D100" r:id="rId13" xr:uid="{00000000-0004-0000-0000-00000C000000}"/>
  </hyperlinks>
  <pageMargins left="0.7" right="0.7" top="0.75" bottom="0.75" header="0" footer="0"/>
  <pageSetup orientation="portrait" r:id="rId14"/>
  <legacyDrawing r:id="rId15"/>
  <tableParts count="1">
    <tablePart r:id="rId1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D1000"/>
  <sheetViews>
    <sheetView workbookViewId="0"/>
  </sheetViews>
  <sheetFormatPr baseColWidth="10" defaultColWidth="14.42578125" defaultRowHeight="15" customHeight="1" x14ac:dyDescent="0.25"/>
  <cols>
    <col min="1" max="1" width="10.5703125" customWidth="1"/>
    <col min="2" max="2" width="17.42578125" customWidth="1"/>
    <col min="3" max="3" width="19.140625" customWidth="1"/>
    <col min="4" max="4" width="9.28515625" customWidth="1"/>
    <col min="5" max="5" width="11.42578125" customWidth="1"/>
    <col min="6" max="6" width="10.85546875" customWidth="1"/>
    <col min="7" max="26" width="9.140625" customWidth="1"/>
  </cols>
  <sheetData>
    <row r="1" spans="1:4" x14ac:dyDescent="0.25">
      <c r="A1" s="2" t="s">
        <v>217</v>
      </c>
      <c r="B1" s="2" t="s">
        <v>218</v>
      </c>
      <c r="C1" s="2" t="s">
        <v>219</v>
      </c>
    </row>
    <row r="2" spans="1:4" x14ac:dyDescent="0.25">
      <c r="A2" s="2" t="s">
        <v>59</v>
      </c>
      <c r="B2" s="10">
        <v>3419563</v>
      </c>
      <c r="C2" s="10">
        <v>625000</v>
      </c>
      <c r="D2" s="11"/>
    </row>
    <row r="3" spans="1:4" x14ac:dyDescent="0.25">
      <c r="A3" s="2" t="s">
        <v>97</v>
      </c>
      <c r="B3" s="10">
        <v>46362500</v>
      </c>
      <c r="C3" s="10">
        <v>625000</v>
      </c>
      <c r="D3" s="11"/>
    </row>
    <row r="4" spans="1:4" x14ac:dyDescent="0.25">
      <c r="A4" s="2" t="s">
        <v>10</v>
      </c>
      <c r="B4" s="10">
        <v>13680000</v>
      </c>
      <c r="C4" s="10">
        <v>625000</v>
      </c>
      <c r="D4" s="11"/>
    </row>
    <row r="5" spans="1:4" x14ac:dyDescent="0.25">
      <c r="A5" s="2" t="s">
        <v>17</v>
      </c>
      <c r="B5" s="10">
        <v>242643750</v>
      </c>
      <c r="C5" s="10">
        <v>312500</v>
      </c>
      <c r="D5" s="11"/>
    </row>
    <row r="6" spans="1:4" x14ac:dyDescent="0.25">
      <c r="A6" s="2" t="s">
        <v>39</v>
      </c>
      <c r="B6" s="10">
        <v>1175118750</v>
      </c>
      <c r="C6" s="10">
        <v>312500</v>
      </c>
      <c r="D6" s="11"/>
    </row>
    <row r="7" spans="1:4" x14ac:dyDescent="0.25">
      <c r="A7" s="2" t="s">
        <v>220</v>
      </c>
      <c r="B7" s="10">
        <v>13308438</v>
      </c>
      <c r="C7" s="10">
        <v>312500</v>
      </c>
      <c r="D7" s="11"/>
    </row>
    <row r="8" spans="1:4" x14ac:dyDescent="0.25">
      <c r="A8" s="2" t="s">
        <v>221</v>
      </c>
      <c r="B8" s="10">
        <v>104688</v>
      </c>
      <c r="C8" s="10">
        <v>125000</v>
      </c>
      <c r="D8" s="11"/>
    </row>
    <row r="9" spans="1:4" x14ac:dyDescent="0.25">
      <c r="A9" s="2" t="s">
        <v>222</v>
      </c>
      <c r="B9" s="10">
        <v>125000</v>
      </c>
      <c r="C9" s="10">
        <v>125000</v>
      </c>
      <c r="D9" s="11"/>
    </row>
    <row r="10" spans="1:4" x14ac:dyDescent="0.25">
      <c r="A10" s="2" t="s">
        <v>223</v>
      </c>
      <c r="B10" s="10">
        <v>37375000</v>
      </c>
      <c r="C10" s="10">
        <v>62500</v>
      </c>
      <c r="D10" s="11"/>
    </row>
    <row r="11" spans="1:4" x14ac:dyDescent="0.25">
      <c r="A11" s="2" t="s">
        <v>224</v>
      </c>
      <c r="B11" s="10">
        <v>62500</v>
      </c>
      <c r="C11" s="10">
        <v>62500</v>
      </c>
      <c r="D11" s="11"/>
    </row>
    <row r="12" spans="1:4" x14ac:dyDescent="0.25">
      <c r="A12" s="2" t="s">
        <v>225</v>
      </c>
      <c r="B12" s="10">
        <v>221500</v>
      </c>
      <c r="C12" s="10">
        <v>62500</v>
      </c>
      <c r="D12" s="11"/>
    </row>
    <row r="13" spans="1:4" x14ac:dyDescent="0.25">
      <c r="A13" s="2" t="s">
        <v>226</v>
      </c>
      <c r="B13" s="10">
        <v>10242152822</v>
      </c>
      <c r="C13" s="10">
        <v>31250</v>
      </c>
      <c r="D13" s="11"/>
    </row>
    <row r="14" spans="1:4" x14ac:dyDescent="0.25">
      <c r="A14" s="1" t="s">
        <v>227</v>
      </c>
      <c r="B14" s="10">
        <v>242643750</v>
      </c>
      <c r="C14" s="10">
        <v>312500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portrait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D1000"/>
  <sheetViews>
    <sheetView workbookViewId="0"/>
  </sheetViews>
  <sheetFormatPr baseColWidth="10" defaultColWidth="14.42578125" defaultRowHeight="15" customHeight="1" x14ac:dyDescent="0.25"/>
  <cols>
    <col min="1" max="1" width="11.42578125" customWidth="1"/>
    <col min="2" max="2" width="12.42578125" customWidth="1"/>
    <col min="3" max="3" width="10.85546875" customWidth="1"/>
    <col min="4" max="4" width="12.5703125" customWidth="1"/>
    <col min="5" max="26" width="9.140625" customWidth="1"/>
  </cols>
  <sheetData>
    <row r="1" spans="1:4" x14ac:dyDescent="0.25">
      <c r="A1" s="12" t="s">
        <v>1</v>
      </c>
      <c r="B1" s="13" t="s">
        <v>228</v>
      </c>
      <c r="C1" s="14" t="s">
        <v>229</v>
      </c>
      <c r="D1" s="2" t="s">
        <v>230</v>
      </c>
    </row>
    <row r="2" spans="1:4" x14ac:dyDescent="0.25">
      <c r="A2" s="15" t="s">
        <v>97</v>
      </c>
      <c r="B2" s="16" t="s">
        <v>231</v>
      </c>
      <c r="C2" s="8" t="s">
        <v>232</v>
      </c>
      <c r="D2" s="1">
        <v>1</v>
      </c>
    </row>
    <row r="3" spans="1:4" x14ac:dyDescent="0.25">
      <c r="A3" s="15" t="s">
        <v>59</v>
      </c>
      <c r="B3" s="16" t="s">
        <v>233</v>
      </c>
      <c r="C3" s="8" t="s">
        <v>234</v>
      </c>
      <c r="D3" s="1">
        <v>1</v>
      </c>
    </row>
    <row r="4" spans="1:4" x14ac:dyDescent="0.25">
      <c r="A4" s="15" t="s">
        <v>17</v>
      </c>
      <c r="B4" s="16" t="s">
        <v>235</v>
      </c>
      <c r="C4" s="8" t="s">
        <v>236</v>
      </c>
      <c r="D4" s="1">
        <v>1</v>
      </c>
    </row>
    <row r="5" spans="1:4" x14ac:dyDescent="0.25">
      <c r="A5" s="15" t="s">
        <v>39</v>
      </c>
      <c r="B5" s="16" t="s">
        <v>237</v>
      </c>
      <c r="C5" s="8" t="s">
        <v>238</v>
      </c>
      <c r="D5" s="1">
        <v>1</v>
      </c>
    </row>
    <row r="6" spans="1:4" x14ac:dyDescent="0.25">
      <c r="A6" s="15" t="s">
        <v>10</v>
      </c>
      <c r="B6" s="16" t="s">
        <v>239</v>
      </c>
      <c r="C6" s="8" t="s">
        <v>240</v>
      </c>
      <c r="D6" s="1">
        <v>1</v>
      </c>
    </row>
    <row r="7" spans="1:4" x14ac:dyDescent="0.25">
      <c r="A7" s="17" t="s">
        <v>227</v>
      </c>
      <c r="B7" s="16" t="s">
        <v>235</v>
      </c>
      <c r="C7" s="8" t="s">
        <v>236</v>
      </c>
      <c r="D7" s="1">
        <v>1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portrait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Z1000"/>
  <sheetViews>
    <sheetView tabSelected="1" topLeftCell="E1" zoomScale="80" zoomScaleNormal="80" workbookViewId="0">
      <selection activeCell="H3" sqref="H3"/>
    </sheetView>
  </sheetViews>
  <sheetFormatPr baseColWidth="10" defaultColWidth="14.42578125" defaultRowHeight="15" customHeight="1" x14ac:dyDescent="0.25"/>
  <cols>
    <col min="1" max="1" width="14.42578125" customWidth="1"/>
    <col min="2" max="2" width="10" customWidth="1"/>
    <col min="3" max="3" width="27.42578125" customWidth="1"/>
    <col min="4" max="4" width="29.28515625" customWidth="1"/>
    <col min="5" max="5" width="115.42578125" customWidth="1"/>
    <col min="6" max="6" width="31.85546875" customWidth="1"/>
    <col min="7" max="7" width="31.7109375" customWidth="1"/>
    <col min="8" max="8" width="91.42578125" customWidth="1"/>
    <col min="9" max="9" width="34" customWidth="1"/>
    <col min="10" max="10" width="22" customWidth="1"/>
    <col min="11" max="11" width="18.7109375" customWidth="1"/>
    <col min="12" max="12" width="9.140625" customWidth="1"/>
    <col min="13" max="14" width="11" customWidth="1"/>
    <col min="15" max="26" width="9.140625" customWidth="1"/>
  </cols>
  <sheetData>
    <row r="1" spans="1:26" x14ac:dyDescent="0.25">
      <c r="A1" s="18" t="s">
        <v>0</v>
      </c>
      <c r="B1" s="18" t="s">
        <v>1</v>
      </c>
      <c r="C1" s="18" t="s">
        <v>2</v>
      </c>
      <c r="D1" s="18" t="s">
        <v>3</v>
      </c>
      <c r="E1" s="18" t="s">
        <v>5</v>
      </c>
      <c r="F1" s="18" t="s">
        <v>6</v>
      </c>
      <c r="G1" s="18" t="s">
        <v>7</v>
      </c>
      <c r="H1" s="2" t="s">
        <v>241</v>
      </c>
      <c r="I1" s="2" t="s">
        <v>242</v>
      </c>
      <c r="J1" s="2" t="s">
        <v>243</v>
      </c>
      <c r="K1" s="2" t="s">
        <v>244</v>
      </c>
      <c r="M1" s="4"/>
      <c r="N1" s="4"/>
      <c r="O1" s="4"/>
    </row>
    <row r="2" spans="1:26" ht="18.75" x14ac:dyDescent="0.25">
      <c r="A2" s="2" t="s">
        <v>16</v>
      </c>
      <c r="B2" s="2" t="s">
        <v>17</v>
      </c>
      <c r="C2" s="49" t="s">
        <v>24</v>
      </c>
      <c r="D2" s="3" t="s">
        <v>12</v>
      </c>
      <c r="E2" s="1" t="str">
        <f>Rutas!$A$2&amp;"Bases\"&amp;F2</f>
        <v>G:\Shared drives\script_MLA_contabilidad_0004\Reporting\Provision de Operadores - RPA\Bases\Base SVC Chile [mm.aa].xlsx</v>
      </c>
      <c r="F2" s="2" t="s">
        <v>25</v>
      </c>
      <c r="G2" s="2" t="s">
        <v>26</v>
      </c>
      <c r="H2" s="1" t="str">
        <f>Rutas!$A$2&amp;"Macros\Ejemplos Macros\"</f>
        <v>G:\Shared drives\script_MLA_contabilidad_0004\Reporting\Provision de Operadores - RPA\Macros\Ejemplos Macros\</v>
      </c>
      <c r="I2" s="52" t="s">
        <v>1648</v>
      </c>
      <c r="J2" s="2" t="s">
        <v>245</v>
      </c>
      <c r="K2" s="2" t="s">
        <v>246</v>
      </c>
      <c r="M2" s="19"/>
      <c r="N2" s="19"/>
      <c r="O2" s="19"/>
      <c r="P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Renca 1|ext_lacernic@mercadolibre.com|G:\Shared drives\script_MLA_contabilidad_0004\Reporting\Provision de Operadores - RPA\Bases\Base SVC Chile [mm.aa].xlsx|Macro AR SA Chile SVC_XD 070C_SC_C1</v>
      </c>
    </row>
    <row r="3" spans="1:26" x14ac:dyDescent="0.25">
      <c r="A3" s="2" t="s">
        <v>16</v>
      </c>
      <c r="B3" s="2" t="s">
        <v>17</v>
      </c>
      <c r="C3" s="2" t="s">
        <v>27</v>
      </c>
      <c r="D3" s="3" t="s">
        <v>12</v>
      </c>
      <c r="E3" s="1" t="str">
        <f>Rutas!$A$2&amp;"Bases\"&amp;F3</f>
        <v>G:\Shared drives\script_MLA_contabilidad_0004\Reporting\Provision de Operadores - RPA\Bases\Base SVC Chile [mm.aa].xlsx</v>
      </c>
      <c r="F3" s="2" t="s">
        <v>25</v>
      </c>
      <c r="G3" s="2" t="s">
        <v>28</v>
      </c>
      <c r="H3" s="4" t="str">
        <f>Rutas!$A$2&amp;"Macros\Ejemplos Macros\"</f>
        <v>G:\Shared drives\script_MLA_contabilidad_0004\Reporting\Provision de Operadores - RPA\Macros\Ejemplos Macros\</v>
      </c>
      <c r="I3" s="52" t="s">
        <v>1648</v>
      </c>
      <c r="J3" s="2" t="s">
        <v>247</v>
      </c>
      <c r="K3" s="32" t="s">
        <v>246</v>
      </c>
      <c r="M3" s="1" t="s">
        <v>248</v>
      </c>
      <c r="N3" s="1" t="s">
        <v>249</v>
      </c>
      <c r="O3" s="4"/>
      <c r="P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Renca 2|ext_lacernic@mercadolibre.com|G:\Shared drives\script_MLA_contabilidad_0004\Reporting\Provision de Operadores - RPA\Bases\Base SVC Chile [mm.aa].xlsx|Macro AR SA Chile SVC_XD 070C_SC_P1</v>
      </c>
    </row>
    <row r="4" spans="1:26" x14ac:dyDescent="0.25">
      <c r="A4" s="2" t="s">
        <v>16</v>
      </c>
      <c r="B4" s="2" t="s">
        <v>17</v>
      </c>
      <c r="C4" s="2" t="s">
        <v>29</v>
      </c>
      <c r="D4" s="3" t="s">
        <v>12</v>
      </c>
      <c r="E4" s="1" t="str">
        <f>Rutas!$A$2&amp;"Bases\"&amp;F4</f>
        <v>G:\Shared drives\script_MLA_contabilidad_0004\Reporting\Provision de Operadores - RPA\Bases\Base SVC Chile [mm.aa].xlsx</v>
      </c>
      <c r="F4" s="2" t="s">
        <v>25</v>
      </c>
      <c r="G4" s="2" t="s">
        <v>30</v>
      </c>
      <c r="H4" s="4" t="str">
        <f>Rutas!$A$2&amp;"Macros\Ejemplos Macros\"</f>
        <v>G:\Shared drives\script_MLA_contabilidad_0004\Reporting\Provision de Operadores - RPA\Macros\Ejemplos Macros\</v>
      </c>
      <c r="I4" s="52" t="s">
        <v>1648</v>
      </c>
      <c r="J4" s="2" t="s">
        <v>250</v>
      </c>
      <c r="K4" s="32" t="s">
        <v>246</v>
      </c>
      <c r="M4" s="20">
        <v>7</v>
      </c>
      <c r="N4" s="1">
        <v>2022</v>
      </c>
      <c r="O4" s="4"/>
      <c r="P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Coquimbo|ext_lacernic@mercadolibre.com|G:\Shared drives\script_MLA_contabilidad_0004\Reporting\Provision de Operadores - RPA\Bases\Base SVC Chile [mm.aa].xlsx|Macro AR SA Chile SVC_XD 070C_SC_D1</v>
      </c>
    </row>
    <row r="5" spans="1:26" x14ac:dyDescent="0.25">
      <c r="A5" s="1" t="s">
        <v>16</v>
      </c>
      <c r="B5" s="1" t="s">
        <v>17</v>
      </c>
      <c r="C5" s="1" t="s">
        <v>31</v>
      </c>
      <c r="D5" s="3" t="s">
        <v>12</v>
      </c>
      <c r="E5" s="1" t="str">
        <f>Rutas!$A$2&amp;"Bases\"&amp;F5</f>
        <v>G:\Shared drives\script_MLA_contabilidad_0004\Reporting\Provision de Operadores - RPA\Bases\Base SVC Chile [mm.aa].xlsx</v>
      </c>
      <c r="F5" s="1" t="s">
        <v>25</v>
      </c>
      <c r="G5" s="1" t="s">
        <v>32</v>
      </c>
      <c r="H5" s="4" t="str">
        <f>Rutas!$A$2&amp;"Macros\Ejemplos Macros\"</f>
        <v>G:\Shared drives\script_MLA_contabilidad_0004\Reporting\Provision de Operadores - RPA\Macros\Ejemplos Macros\</v>
      </c>
      <c r="I5" s="52" t="s">
        <v>1648</v>
      </c>
      <c r="J5" s="1" t="s">
        <v>251</v>
      </c>
      <c r="K5" s="32" t="s">
        <v>246</v>
      </c>
      <c r="L5" s="4"/>
      <c r="M5" s="4"/>
      <c r="N5" s="4"/>
      <c r="O5" s="4"/>
      <c r="P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Rancagua|ext_lacernic@mercadolibre.com|G:\Shared drives\script_MLA_contabilidad_0004\Reporting\Provision de Operadores - RPA\Bases\Base SVC Chile [mm.aa].xlsx|Macro AR SA Chile SVC_XD 070C_SC_R1</v>
      </c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x14ac:dyDescent="0.25">
      <c r="A6" s="2" t="s">
        <v>16</v>
      </c>
      <c r="B6" s="2" t="s">
        <v>17</v>
      </c>
      <c r="C6" s="2" t="s">
        <v>36</v>
      </c>
      <c r="D6" s="3" t="s">
        <v>12</v>
      </c>
      <c r="E6" s="1" t="str">
        <f>Rutas!$A$2&amp;"Bases\"&amp;F6</f>
        <v>G:\Shared drives\script_MLA_contabilidad_0004\Reporting\Provision de Operadores - RPA\Bases\Base SVC Chile [mm.aa].xlsx</v>
      </c>
      <c r="F6" s="2" t="s">
        <v>25</v>
      </c>
      <c r="G6" s="2" t="s">
        <v>37</v>
      </c>
      <c r="H6" s="4" t="str">
        <f>Rutas!$A$2&amp;"Macros\Ejemplos Macros\"</f>
        <v>G:\Shared drives\script_MLA_contabilidad_0004\Reporting\Provision de Operadores - RPA\Macros\Ejemplos Macros\</v>
      </c>
      <c r="I6" s="52" t="s">
        <v>1648</v>
      </c>
      <c r="J6" s="2" t="s">
        <v>252</v>
      </c>
      <c r="K6" s="32" t="s">
        <v>246</v>
      </c>
      <c r="P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Concepcion|ext_lacernic@mercadolibre.com|G:\Shared drives\script_MLA_contabilidad_0004\Reporting\Provision de Operadores - RPA\Bases\Base SVC Chile [mm.aa].xlsx|Macro AR SA Chile SVC_XD 070C_SC_B1</v>
      </c>
    </row>
    <row r="7" spans="1:26" x14ac:dyDescent="0.25">
      <c r="A7" s="2" t="s">
        <v>38</v>
      </c>
      <c r="B7" s="2" t="s">
        <v>39</v>
      </c>
      <c r="C7" s="2" t="s">
        <v>43</v>
      </c>
      <c r="D7" s="3" t="s">
        <v>12</v>
      </c>
      <c r="E7" s="1" t="str">
        <f>Rutas!$A$2&amp;"Bases\"&amp;F7</f>
        <v>G:\Shared drives\script_MLA_contabilidad_0004\Reporting\Provision de Operadores - RPA\Bases\Base SVC Colombia [mm.aa].xlsx</v>
      </c>
      <c r="F7" s="2" t="s">
        <v>44</v>
      </c>
      <c r="G7" s="2" t="s">
        <v>45</v>
      </c>
      <c r="H7" s="4" t="str">
        <f>Rutas!$A$2&amp;"Macros\Ejemplos Macros\"</f>
        <v>G:\Shared drives\script_MLA_contabilidad_0004\Reporting\Provision de Operadores - RPA\Macros\Ejemplos Macros\</v>
      </c>
      <c r="I7" s="1" t="s">
        <v>1631</v>
      </c>
      <c r="J7" s="2" t="s">
        <v>253</v>
      </c>
      <c r="K7" s="1" t="s">
        <v>246</v>
      </c>
      <c r="P7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Bogota|ext_lacernic@mercadolibre.com|C:\Users\ricardo.e.torres\Documents\ProvisionOP\Bases\Base SVC Colombia 07.22.xlsx|Resumen Bogota|C:\Users\ricardo.e.torres\Documents\ProvisionOP\Macros\|Macro AR SA Colombia SVCXD 07|0c_SB01</v>
      </c>
    </row>
    <row r="8" spans="1:26" x14ac:dyDescent="0.25">
      <c r="A8" s="2" t="s">
        <v>38</v>
      </c>
      <c r="B8" s="2" t="s">
        <v>39</v>
      </c>
      <c r="C8" s="2" t="s">
        <v>46</v>
      </c>
      <c r="D8" s="3" t="s">
        <v>12</v>
      </c>
      <c r="E8" s="1" t="str">
        <f>Rutas!$A$2&amp;"Bases\"&amp;F8</f>
        <v>G:\Shared drives\script_MLA_contabilidad_0004\Reporting\Provision de Operadores - RPA\Bases\Base SVC Colombia [mm.aa].xlsx</v>
      </c>
      <c r="F8" s="2" t="s">
        <v>44</v>
      </c>
      <c r="G8" s="2" t="s">
        <v>47</v>
      </c>
      <c r="H8" s="4" t="str">
        <f>Rutas!$A$2&amp;"Macros\Ejemplos Macros\"</f>
        <v>G:\Shared drives\script_MLA_contabilidad_0004\Reporting\Provision de Operadores - RPA\Macros\Ejemplos Macros\</v>
      </c>
      <c r="I8" s="4" t="s">
        <v>1631</v>
      </c>
      <c r="J8" s="2" t="s">
        <v>254</v>
      </c>
      <c r="K8" s="1" t="s">
        <v>246</v>
      </c>
      <c r="P8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Cali|ext_lacernic@mercadolibre.com|C:\Users\ricardo.e.torres\Documents\ProvisionOP\Bases\Base SVC Colombia 07.22.xlsx|Resumen Cali|C:\Users\ricardo.e.torres\Documents\ProvisionOP\Macros\|Macro AR SA Colombia SVCXD 07|0c_SVA1</v>
      </c>
    </row>
    <row r="9" spans="1:26" x14ac:dyDescent="0.25">
      <c r="A9" s="1" t="s">
        <v>38</v>
      </c>
      <c r="B9" s="1" t="s">
        <v>39</v>
      </c>
      <c r="C9" s="1" t="s">
        <v>48</v>
      </c>
      <c r="D9" s="3" t="s">
        <v>12</v>
      </c>
      <c r="E9" s="1" t="str">
        <f>Rutas!$A$2&amp;"Bases\"&amp;F9</f>
        <v>G:\Shared drives\script_MLA_contabilidad_0004\Reporting\Provision de Operadores - RPA\Bases\Base SVC Colombia [mm.aa].xlsx</v>
      </c>
      <c r="F9" s="1" t="s">
        <v>44</v>
      </c>
      <c r="G9" s="1" t="s">
        <v>49</v>
      </c>
      <c r="H9" s="4" t="str">
        <f>Rutas!$A$2&amp;"Macros\Ejemplos Macros\"</f>
        <v>G:\Shared drives\script_MLA_contabilidad_0004\Reporting\Provision de Operadores - RPA\Macros\Ejemplos Macros\</v>
      </c>
      <c r="I9" s="4" t="s">
        <v>1631</v>
      </c>
      <c r="J9" s="1" t="s">
        <v>255</v>
      </c>
      <c r="K9" s="1" t="s">
        <v>246</v>
      </c>
      <c r="L9" s="4"/>
      <c r="M9" s="4"/>
      <c r="N9" s="4"/>
      <c r="O9" s="4"/>
      <c r="P9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Pereira|ext_lacernic@mercadolibre.com|C:\Users\ricardo.e.torres\Documents\ProvisionOP\Bases\Base SVC Colombia 07.22.xlsx|Resumen Pereira|C:\Users\ricardo.e.torres\Documents\ProvisionOP\Macros\|Macro AR SA Colombia SVCXD 07|0c_SRI1</v>
      </c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x14ac:dyDescent="0.25">
      <c r="A10" s="1" t="s">
        <v>38</v>
      </c>
      <c r="B10" s="1" t="s">
        <v>39</v>
      </c>
      <c r="C10" s="1" t="s">
        <v>52</v>
      </c>
      <c r="D10" s="3" t="s">
        <v>12</v>
      </c>
      <c r="E10" s="1" t="str">
        <f>Rutas!$A$2&amp;"Bases\"&amp;F10</f>
        <v>G:\Shared drives\script_MLA_contabilidad_0004\Reporting\Provision de Operadores - RPA\Bases\Base SVC Colombia [mm.aa].xlsx</v>
      </c>
      <c r="F10" s="1" t="s">
        <v>44</v>
      </c>
      <c r="G10" s="1" t="s">
        <v>53</v>
      </c>
      <c r="H10" s="4" t="str">
        <f>Rutas!$A$2&amp;"Macros\Ejemplos Macros\"</f>
        <v>G:\Shared drives\script_MLA_contabilidad_0004\Reporting\Provision de Operadores - RPA\Macros\Ejemplos Macros\</v>
      </c>
      <c r="I10" s="4" t="s">
        <v>1631</v>
      </c>
      <c r="J10" s="1" t="s">
        <v>256</v>
      </c>
      <c r="K10" s="1" t="s">
        <v>246</v>
      </c>
      <c r="L10" s="4"/>
      <c r="M10" s="4"/>
      <c r="N10" s="4"/>
      <c r="O10" s="4"/>
      <c r="P10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Tunja|ext_lacernic@mercadolibre.com|C:\Users\ricardo.e.torres\Documents\ProvisionOP\Bases\Base SVC Colombia 07.22.xlsx|Resumen Tunja|C:\Users\ricardo.e.torres\Documents\ProvisionOP\Macros\|Macro AR SA Colombia SVCXD 07|0c_SBY1</v>
      </c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x14ac:dyDescent="0.25">
      <c r="A11" s="2" t="s">
        <v>38</v>
      </c>
      <c r="B11" s="2" t="s">
        <v>39</v>
      </c>
      <c r="C11" s="2" t="s">
        <v>50</v>
      </c>
      <c r="D11" s="3" t="s">
        <v>12</v>
      </c>
      <c r="E11" s="1" t="str">
        <f>Rutas!$A$2&amp;"Bases\"&amp;F11</f>
        <v>G:\Shared drives\script_MLA_contabilidad_0004\Reporting\Provision de Operadores - RPA\Bases\Base SVC Colombia [mm.aa].xlsx</v>
      </c>
      <c r="F11" s="2" t="s">
        <v>44</v>
      </c>
      <c r="G11" s="2" t="s">
        <v>51</v>
      </c>
      <c r="H11" s="4" t="str">
        <f>Rutas!$A$2&amp;"Macros\Ejemplos Macros\"</f>
        <v>G:\Shared drives\script_MLA_contabilidad_0004\Reporting\Provision de Operadores - RPA\Macros\Ejemplos Macros\</v>
      </c>
      <c r="I11" s="4" t="s">
        <v>1631</v>
      </c>
      <c r="J11" s="2" t="s">
        <v>257</v>
      </c>
      <c r="K11" s="1" t="s">
        <v>246</v>
      </c>
      <c r="P11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Medellin|ext_lacernic@mercadolibre.com|C:\Users\ricardo.e.torres\Documents\ProvisionOP\Bases\Base SVC Colombia 07.22.xlsx|Resumen Medellin|C:\Users\ricardo.e.torres\Documents\ProvisionOP\Macros\|Macro AR SA Colombia SVCXD 07|0c_SAN1</v>
      </c>
    </row>
    <row r="12" spans="1:26" x14ac:dyDescent="0.25">
      <c r="A12" s="2" t="s">
        <v>38</v>
      </c>
      <c r="B12" s="2" t="s">
        <v>39</v>
      </c>
      <c r="C12" s="2" t="s">
        <v>54</v>
      </c>
      <c r="D12" s="3" t="s">
        <v>12</v>
      </c>
      <c r="E12" s="1" t="str">
        <f>Rutas!$A$2&amp;"Bases\"&amp;F12</f>
        <v>G:\Shared drives\script_MLA_contabilidad_0004\Reporting\Provision de Operadores - RPA\Bases\Base XD Colombia [mm.aa].xlsx</v>
      </c>
      <c r="F12" s="2" t="s">
        <v>55</v>
      </c>
      <c r="G12" s="2" t="s">
        <v>56</v>
      </c>
      <c r="H12" s="4" t="str">
        <f>Rutas!$A$2&amp;"Macros\Ejemplos Macros\"</f>
        <v>G:\Shared drives\script_MLA_contabilidad_0004\Reporting\Provision de Operadores - RPA\Macros\Ejemplos Macros\</v>
      </c>
      <c r="I12" s="4" t="s">
        <v>1631</v>
      </c>
      <c r="J12" s="1" t="s">
        <v>253</v>
      </c>
      <c r="K12" s="1" t="s">
        <v>246</v>
      </c>
      <c r="P12" t="str">
        <f>+""""&amp;Table_4[[#This Row],[Operador]]&amp;"|"&amp;Table_4[[#This Row],[País]]&amp;"|"&amp;Table_4[[#This Row],[Centro]]&amp;"|"&amp;"ext_lacernic@mercadolibre.com|C:\Users\ricardo.e.torres\Documents\ProvisionOP\Bases\Base XD Colombia 07.22.xlsx"&amp;"|"&amp;Table_4[[#This Row],[Tab base]]&amp;"|"&amp;"C:\Users\ricardo.e.torres\Documents\ProvisionOP\Macros\|Macro AR SA Colombia SVCXD 07|"&amp;Table_4[[#This Row],[Orden]]</f>
        <v>"SUPPLA|Colombia|XD Bogota|ext_lacernic@mercadolibre.com|C:\Users\ricardo.e.torres\Documents\ProvisionOP\Bases\Base XD Colombia 07.22.xlsx|Resumen DHL Bogota|C:\Users\ricardo.e.torres\Documents\ProvisionOP\Macros\|Macro AR SA Colombia SVCXD 07|0c_SB01</v>
      </c>
    </row>
    <row r="13" spans="1:26" x14ac:dyDescent="0.25">
      <c r="A13" s="2" t="s">
        <v>38</v>
      </c>
      <c r="B13" s="2" t="s">
        <v>39</v>
      </c>
      <c r="C13" s="2" t="s">
        <v>57</v>
      </c>
      <c r="D13" s="3" t="s">
        <v>12</v>
      </c>
      <c r="E13" s="1" t="str">
        <f>Rutas!$A$2&amp;"Bases\"&amp;F13</f>
        <v>G:\Shared drives\script_MLA_contabilidad_0004\Reporting\Provision de Operadores - RPA\Bases\Base XD Colombia [mm.aa].xlsx</v>
      </c>
      <c r="F13" s="2" t="s">
        <v>55</v>
      </c>
      <c r="G13" s="2" t="s">
        <v>47</v>
      </c>
      <c r="H13" s="4" t="str">
        <f>Rutas!$A$2&amp;"Macros\Ejemplos Macros\"</f>
        <v>G:\Shared drives\script_MLA_contabilidad_0004\Reporting\Provision de Operadores - RPA\Macros\Ejemplos Macros\</v>
      </c>
      <c r="I13" s="4" t="s">
        <v>1631</v>
      </c>
      <c r="J13" s="1" t="s">
        <v>254</v>
      </c>
      <c r="K13" s="1" t="s">
        <v>246</v>
      </c>
      <c r="P13" t="str">
        <f>+""""&amp;Table_4[[#This Row],[Operador]]&amp;"|"&amp;Table_4[[#This Row],[País]]&amp;"|"&amp;Table_4[[#This Row],[Centro]]&amp;"|"&amp;"ext_lacernic@mercadolibre.com|C:\Users\ricardo.e.torres\Documents\ProvisionOP\Bases\Base XD Colombia 07.22.xlsx"&amp;"|"&amp;Table_4[[#This Row],[Tab base]]&amp;"|"&amp;"C:\Users\ricardo.e.torres\Documents\ProvisionOP\Macros\|Macro AR SA Colombia SVCXD 07|"&amp;Table_4[[#This Row],[Orden]]</f>
        <v>"SUPPLA|Colombia|XD Cali|ext_lacernic@mercadolibre.com|C:\Users\ricardo.e.torres\Documents\ProvisionOP\Bases\Base XD Colombia 07.22.xlsx|Resumen Cali|C:\Users\ricardo.e.torres\Documents\ProvisionOP\Macros\|Macro AR SA Colombia SVCXD 07|0c_SVA1</v>
      </c>
    </row>
    <row r="14" spans="1:26" x14ac:dyDescent="0.25">
      <c r="A14" s="2" t="s">
        <v>38</v>
      </c>
      <c r="B14" s="2" t="s">
        <v>39</v>
      </c>
      <c r="C14" s="2" t="s">
        <v>40</v>
      </c>
      <c r="D14" s="3" t="s">
        <v>12</v>
      </c>
      <c r="E14" s="1" t="str">
        <f>Rutas!$A$2&amp;"Bases\"&amp;F14</f>
        <v>G:\Shared drives\script_MLA_contabilidad_0004\Reporting\Provision de Operadores - RPA\Bases\Base FF Colombia [mm.aa].xlsx</v>
      </c>
      <c r="F14" s="2" t="s">
        <v>41</v>
      </c>
      <c r="G14" s="2" t="s">
        <v>14</v>
      </c>
      <c r="H14" s="4" t="str">
        <f>Rutas!$A$2&amp;"Macros\Ejemplos Macros\"</f>
        <v>G:\Shared drives\script_MLA_contabilidad_0004\Reporting\Provision de Operadores - RPA\Macros\Ejemplos Macros\</v>
      </c>
      <c r="I14" s="48" t="s">
        <v>1588</v>
      </c>
      <c r="J14" s="2"/>
      <c r="K14" s="1" t="s">
        <v>246</v>
      </c>
      <c r="P1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"SUPPLA|Colombia|FBM Funza|ext_lacernic@mercadolibre.com|G:\Shared drives\script_MLA_contabilidad_0004\Reporting\Provision de Operadores - RPA\Bases\Base FF Colombia [mm.aa].xlsx|Macro AR SA Colombia FBM 07</v>
      </c>
    </row>
    <row r="15" spans="1:26" x14ac:dyDescent="0.25">
      <c r="A15" s="2" t="s">
        <v>16</v>
      </c>
      <c r="B15" s="2" t="s">
        <v>17</v>
      </c>
      <c r="C15" s="2" t="s">
        <v>18</v>
      </c>
      <c r="D15" s="3" t="s">
        <v>12</v>
      </c>
      <c r="E15" s="1" t="str">
        <f>Rutas!$A$2&amp;"Bases\"&amp;F15</f>
        <v>G:\Shared drives\script_MLA_contabilidad_0004\Reporting\Provision de Operadores - RPA\Bases\Base FF Chile [mm.aa].xlsx</v>
      </c>
      <c r="F15" s="2" t="s">
        <v>19</v>
      </c>
      <c r="G15" s="2" t="s">
        <v>20</v>
      </c>
      <c r="H15" s="4" t="str">
        <f>Rutas!$A$2&amp;"Macros\Ejemplos Macros\"</f>
        <v>G:\Shared drives\script_MLA_contabilidad_0004\Reporting\Provision de Operadores - RPA\Macros\Ejemplos Macros\</v>
      </c>
      <c r="I15" s="2" t="s">
        <v>258</v>
      </c>
      <c r="J15" s="2"/>
      <c r="K15" s="2" t="s">
        <v>246</v>
      </c>
      <c r="P1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"CEVA|Chile|FBM Colina|ext_lacernic@mercadolibre.com|G:\Shared drives\script_MLA_contabilidad_0004\Reporting\Provision de Operadores - RPA\Bases\Base FF Chile [mm.aa].xlsx|Macro SG Chile FBM</v>
      </c>
    </row>
    <row r="16" spans="1:26" x14ac:dyDescent="0.25">
      <c r="A16" s="2" t="s">
        <v>16</v>
      </c>
      <c r="B16" s="2" t="s">
        <v>17</v>
      </c>
      <c r="C16" s="2" t="s">
        <v>22</v>
      </c>
      <c r="D16" s="3" t="s">
        <v>12</v>
      </c>
      <c r="E16" s="1" t="str">
        <f>Rutas!$A$2&amp;"Bases\"&amp;F16</f>
        <v>G:\Shared drives\script_MLA_contabilidad_0004\Reporting\Provision de Operadores - RPA\Bases\Base XD Chile [mm.aa].xlsx</v>
      </c>
      <c r="F16" s="2" t="s">
        <v>23</v>
      </c>
      <c r="G16" s="2" t="s">
        <v>20</v>
      </c>
      <c r="H16" s="4" t="str">
        <f>Rutas!$A$2&amp;"Macros\Ejemplos Macros\"</f>
        <v>G:\Shared drives\script_MLA_contabilidad_0004\Reporting\Provision de Operadores - RPA\Macros\Ejemplos Macros\</v>
      </c>
      <c r="I16" s="2" t="s">
        <v>259</v>
      </c>
      <c r="J16" s="2" t="s">
        <v>247</v>
      </c>
      <c r="K16" s="32" t="s">
        <v>246</v>
      </c>
      <c r="P1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"CEVA|Chile|XD|ext_lacernic@mercadolibre.com|G:\Shared drives\script_MLA_contabilidad_0004\Reporting\Provision de Operadores - RPA\Bases\Base XD Chile [mm.aa].xlsx|Macro SG Chile XD0C_SC_P1</v>
      </c>
    </row>
    <row r="17" spans="1:26" x14ac:dyDescent="0.25">
      <c r="A17" s="2" t="s">
        <v>9</v>
      </c>
      <c r="B17" s="2" t="s">
        <v>10</v>
      </c>
      <c r="C17" s="2" t="s">
        <v>11</v>
      </c>
      <c r="D17" s="3" t="s">
        <v>12</v>
      </c>
      <c r="E17" s="1" t="str">
        <f>Rutas!$A$2&amp;"Bases\"&amp;F17</f>
        <v>G:\Shared drives\script_MLA_contabilidad_0004\Reporting\Provision de Operadores - RPA\Bases\Base FF Mexico [mm.aa].xlsx</v>
      </c>
      <c r="F17" s="2" t="s">
        <v>13</v>
      </c>
      <c r="G17" s="2" t="s">
        <v>14</v>
      </c>
      <c r="H17" s="4" t="str">
        <f>Rutas!$A$2&amp;"Macros\Ejemplos Macros\"</f>
        <v>G:\Shared drives\script_MLA_contabilidad_0004\Reporting\Provision de Operadores - RPA\Macros\Ejemplos Macros\</v>
      </c>
      <c r="I17" s="2" t="s">
        <v>260</v>
      </c>
      <c r="J17" s="2"/>
      <c r="K17" s="2" t="s">
        <v>246</v>
      </c>
      <c r="P1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"DHL|Mexico|FBM Prologis|ext_lacernic@mercadolibre.com|G:\Shared drives\script_MLA_contabilidad_0004\Reporting\Provision de Operadores - RPA\Bases\Base FF Mexico [mm.aa].xlsx|Macro SG Mexico FBM Prologis</v>
      </c>
    </row>
    <row r="18" spans="1:26" x14ac:dyDescent="0.25">
      <c r="A18" s="2" t="s">
        <v>58</v>
      </c>
      <c r="B18" s="2" t="s">
        <v>59</v>
      </c>
      <c r="C18" s="2" t="s">
        <v>261</v>
      </c>
      <c r="D18" s="3" t="s">
        <v>12</v>
      </c>
      <c r="E18" s="1" t="str">
        <f>Rutas!$A$2&amp;"Bases\"&amp;F18</f>
        <v>G:\Shared drives\script_MLA_contabilidad_0004\Reporting\Provision de Operadores - RPA\Bases\Base XD Brasil [mm.aa].xlsx</v>
      </c>
      <c r="F18" s="2" t="s">
        <v>62</v>
      </c>
      <c r="G18" s="2" t="s">
        <v>63</v>
      </c>
      <c r="H18" s="4" t="str">
        <f>Rutas!$A$2&amp;"Macros\Ejemplos Macros\"</f>
        <v>G:\Shared drives\script_MLA_contabilidad_0004\Reporting\Provision de Operadores - RPA\Macros\Ejemplos Macros\</v>
      </c>
      <c r="I18" s="2" t="s">
        <v>262</v>
      </c>
      <c r="J18" s="21"/>
      <c r="K18" s="1" t="s">
        <v>246</v>
      </c>
      <c r="P18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Riberao Prieto|ext_lacernic@mercadolibre.com|G:\Shared drives\script_MLA_contabilidad_0004\Reporting\Provision de Operadores - RPA\Bases\Base XD Brasil [mm.aa].xlsx|Macro AR SA XD Brasil</v>
      </c>
    </row>
    <row r="19" spans="1:26" x14ac:dyDescent="0.25">
      <c r="A19" s="2" t="s">
        <v>16</v>
      </c>
      <c r="B19" s="2" t="s">
        <v>59</v>
      </c>
      <c r="C19" s="2" t="s">
        <v>65</v>
      </c>
      <c r="D19" s="3" t="s">
        <v>12</v>
      </c>
      <c r="E19" s="1" t="str">
        <f>Rutas!$A$2&amp;"Bases\"&amp;F19</f>
        <v>G:\Shared drives\script_MLA_contabilidad_0004\Reporting\Provision de Operadores - RPA\Bases\Base XD Brasil [mm.aa].xlsx</v>
      </c>
      <c r="F19" s="2" t="s">
        <v>62</v>
      </c>
      <c r="G19" s="2" t="s">
        <v>66</v>
      </c>
      <c r="H19" s="4" t="str">
        <f>Rutas!$A$2&amp;"Macros\Ejemplos Macros\"</f>
        <v>G:\Shared drives\script_MLA_contabilidad_0004\Reporting\Provision de Operadores - RPA\Macros\Ejemplos Macros\</v>
      </c>
      <c r="I19" s="1" t="s">
        <v>263</v>
      </c>
      <c r="J19" s="21"/>
      <c r="K19" s="1" t="s">
        <v>246</v>
      </c>
      <c r="P1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"CEVA|Brasil|XD Campinas|ext_lacernic@mercadolibre.com|G:\Shared drives\script_MLA_contabilidad_0004\Reporting\Provision de Operadores - RPA\Bases\Base XD Brasil [mm.aa].xlsx|Macro SG XD Campinas</v>
      </c>
    </row>
    <row r="20" spans="1:26" x14ac:dyDescent="0.25">
      <c r="A20" s="2" t="s">
        <v>58</v>
      </c>
      <c r="B20" s="2" t="s">
        <v>59</v>
      </c>
      <c r="C20" s="2" t="s">
        <v>67</v>
      </c>
      <c r="D20" s="3" t="s">
        <v>12</v>
      </c>
      <c r="E20" s="1" t="str">
        <f>Rutas!$A$2&amp;"Bases\"&amp;F20</f>
        <v>G:\Shared drives\script_MLA_contabilidad_0004\Reporting\Provision de Operadores - RPA\Bases\Base XD Brasil [mm.aa].xlsx</v>
      </c>
      <c r="F20" s="2" t="s">
        <v>62</v>
      </c>
      <c r="G20" s="2" t="s">
        <v>68</v>
      </c>
      <c r="H20" s="4" t="str">
        <f>Rutas!$A$2&amp;"Macros\Ejemplos Macros\"</f>
        <v>G:\Shared drives\script_MLA_contabilidad_0004\Reporting\Provision de Operadores - RPA\Macros\Ejemplos Macros\</v>
      </c>
      <c r="I20" s="1" t="s">
        <v>264</v>
      </c>
      <c r="J20" s="21"/>
      <c r="K20" s="1" t="s">
        <v>246</v>
      </c>
      <c r="P20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Vila Guillherme|ext_lacernic@mercadolibre.com|G:\Shared drives\script_MLA_contabilidad_0004\Reporting\Provision de Operadores - RPA\Bases\Base XD Brasil [mm.aa].xlsx|Macro SG XD Vila Guilherme</v>
      </c>
    </row>
    <row r="21" spans="1:26" ht="15.75" customHeight="1" x14ac:dyDescent="0.25">
      <c r="A21" s="2" t="s">
        <v>16</v>
      </c>
      <c r="B21" s="2" t="s">
        <v>59</v>
      </c>
      <c r="C21" s="2" t="s">
        <v>69</v>
      </c>
      <c r="D21" s="3" t="s">
        <v>12</v>
      </c>
      <c r="E21" s="1" t="str">
        <f>Rutas!$A$2&amp;"Bases\"&amp;F21</f>
        <v>G:\Shared drives\script_MLA_contabilidad_0004\Reporting\Provision de Operadores - RPA\Bases\Base XD Brasil [mm.aa].xlsx</v>
      </c>
      <c r="F21" s="2" t="s">
        <v>62</v>
      </c>
      <c r="G21" s="2" t="s">
        <v>70</v>
      </c>
      <c r="H21" s="4" t="str">
        <f>Rutas!$A$2&amp;"Macros\Ejemplos Macros\"</f>
        <v>G:\Shared drives\script_MLA_contabilidad_0004\Reporting\Provision de Operadores - RPA\Macros\Ejemplos Macros\</v>
      </c>
      <c r="I21" s="1" t="s">
        <v>262</v>
      </c>
      <c r="J21" s="21"/>
      <c r="K21" s="1" t="s">
        <v>246</v>
      </c>
      <c r="P21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"CEVA|Brasil|XD Arena|ext_lacernic@mercadolibre.com|G:\Shared drives\script_MLA_contabilidad_0004\Reporting\Provision de Operadores - RPA\Bases\Base XD Brasil [mm.aa].xlsx|Macro AR SA XD Brasil</v>
      </c>
    </row>
    <row r="22" spans="1:26" ht="15.75" customHeight="1" x14ac:dyDescent="0.25">
      <c r="A22" s="2" t="s">
        <v>58</v>
      </c>
      <c r="B22" s="2" t="s">
        <v>59</v>
      </c>
      <c r="C22" s="2" t="s">
        <v>71</v>
      </c>
      <c r="D22" s="3" t="s">
        <v>12</v>
      </c>
      <c r="E22" s="1" t="str">
        <f>Rutas!$A$2&amp;"Bases\"&amp;F22</f>
        <v>G:\Shared drives\script_MLA_contabilidad_0004\Reporting\Provision de Operadores - RPA\Bases\Base XD Brasil [mm.aa].xlsx</v>
      </c>
      <c r="F22" s="2" t="s">
        <v>62</v>
      </c>
      <c r="G22" s="2" t="s">
        <v>72</v>
      </c>
      <c r="H22" s="4" t="str">
        <f>Rutas!$A$2&amp;"Macros\Ejemplos Macros\"</f>
        <v>G:\Shared drives\script_MLA_contabilidad_0004\Reporting\Provision de Operadores - RPA\Macros\Ejemplos Macros\</v>
      </c>
      <c r="I22" s="1" t="s">
        <v>262</v>
      </c>
      <c r="J22" s="21"/>
      <c r="K22" s="1" t="s">
        <v>246</v>
      </c>
      <c r="P2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Bauru|ext_lacernic@mercadolibre.com|G:\Shared drives\script_MLA_contabilidad_0004\Reporting\Provision de Operadores - RPA\Bases\Base XD Brasil [mm.aa].xlsx|Macro AR SA XD Brasil</v>
      </c>
    </row>
    <row r="23" spans="1:26" ht="15.75" customHeight="1" x14ac:dyDescent="0.25">
      <c r="A23" s="2" t="s">
        <v>58</v>
      </c>
      <c r="B23" s="2" t="s">
        <v>59</v>
      </c>
      <c r="C23" s="2" t="s">
        <v>73</v>
      </c>
      <c r="D23" s="3" t="s">
        <v>12</v>
      </c>
      <c r="E23" s="1" t="str">
        <f>Rutas!$A$2&amp;"Bases\"&amp;F23</f>
        <v>G:\Shared drives\script_MLA_contabilidad_0004\Reporting\Provision de Operadores - RPA\Bases\Base XD Brasil [mm.aa].xlsx</v>
      </c>
      <c r="F23" s="2" t="s">
        <v>62</v>
      </c>
      <c r="G23" s="2" t="s">
        <v>74</v>
      </c>
      <c r="H23" s="4" t="str">
        <f>Rutas!$A$2&amp;"Macros\Ejemplos Macros\"</f>
        <v>G:\Shared drives\script_MLA_contabilidad_0004\Reporting\Provision de Operadores - RPA\Macros\Ejemplos Macros\</v>
      </c>
      <c r="I23" s="1" t="s">
        <v>262</v>
      </c>
      <c r="J23" s="21"/>
      <c r="K23" s="1" t="s">
        <v>246</v>
      </c>
      <c r="P2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Sao Bernardo|ext_lacernic@mercadolibre.com|G:\Shared drives\script_MLA_contabilidad_0004\Reporting\Provision de Operadores - RPA\Bases\Base XD Brasil [mm.aa].xlsx|Macro AR SA XD Brasil</v>
      </c>
    </row>
    <row r="24" spans="1:26" ht="15.75" customHeight="1" x14ac:dyDescent="0.25">
      <c r="A24" s="2" t="s">
        <v>58</v>
      </c>
      <c r="B24" s="2" t="s">
        <v>59</v>
      </c>
      <c r="C24" s="2" t="s">
        <v>75</v>
      </c>
      <c r="D24" s="3" t="s">
        <v>12</v>
      </c>
      <c r="E24" s="1" t="str">
        <f>Rutas!$A$2&amp;"Bases\"&amp;F24</f>
        <v>G:\Shared drives\script_MLA_contabilidad_0004\Reporting\Provision de Operadores - RPA\Bases\Base XD Brasil [mm.aa].xlsx</v>
      </c>
      <c r="F24" s="2" t="s">
        <v>62</v>
      </c>
      <c r="G24" s="2" t="s">
        <v>76</v>
      </c>
      <c r="H24" s="4" t="str">
        <f>Rutas!$A$2&amp;"Macros\Ejemplos Macros\"</f>
        <v>G:\Shared drives\script_MLA_contabilidad_0004\Reporting\Provision de Operadores - RPA\Macros\Ejemplos Macros\</v>
      </c>
      <c r="I24" s="1" t="s">
        <v>262</v>
      </c>
      <c r="J24" s="21"/>
      <c r="K24" s="1" t="s">
        <v>246</v>
      </c>
      <c r="P2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Vitoria|ext_lacernic@mercadolibre.com|G:\Shared drives\script_MLA_contabilidad_0004\Reporting\Provision de Operadores - RPA\Bases\Base XD Brasil [mm.aa].xlsx|Macro AR SA XD Brasil</v>
      </c>
    </row>
    <row r="25" spans="1:26" ht="15.75" customHeight="1" x14ac:dyDescent="0.25">
      <c r="A25" s="2" t="s">
        <v>58</v>
      </c>
      <c r="B25" s="2" t="s">
        <v>59</v>
      </c>
      <c r="C25" s="2" t="s">
        <v>77</v>
      </c>
      <c r="D25" s="3" t="s">
        <v>12</v>
      </c>
      <c r="E25" s="1" t="str">
        <f>Rutas!$A$2&amp;"Bases\"&amp;F25</f>
        <v>G:\Shared drives\script_MLA_contabilidad_0004\Reporting\Provision de Operadores - RPA\Bases\Base XD Brasil [mm.aa].xlsx</v>
      </c>
      <c r="F25" s="2" t="s">
        <v>62</v>
      </c>
      <c r="G25" s="2" t="s">
        <v>78</v>
      </c>
      <c r="H25" s="4" t="str">
        <f>Rutas!$A$2&amp;"Macros\Ejemplos Macros\"</f>
        <v>G:\Shared drives\script_MLA_contabilidad_0004\Reporting\Provision de Operadores - RPA\Macros\Ejemplos Macros\</v>
      </c>
      <c r="I25" s="1" t="s">
        <v>262</v>
      </c>
      <c r="J25" s="21"/>
      <c r="K25" s="1" t="s">
        <v>246</v>
      </c>
      <c r="P2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Rio de Janeiro|ext_lacernic@mercadolibre.com|G:\Shared drives\script_MLA_contabilidad_0004\Reporting\Provision de Operadores - RPA\Bases\Base XD Brasil [mm.aa].xlsx|Macro AR SA XD Brasil</v>
      </c>
    </row>
    <row r="26" spans="1:26" ht="15.75" customHeight="1" x14ac:dyDescent="0.25">
      <c r="A26" s="2" t="s">
        <v>58</v>
      </c>
      <c r="B26" s="2" t="s">
        <v>59</v>
      </c>
      <c r="C26" s="2" t="s">
        <v>79</v>
      </c>
      <c r="D26" s="3" t="s">
        <v>12</v>
      </c>
      <c r="E26" s="1" t="str">
        <f>Rutas!$A$2&amp;"Bases\"&amp;F26</f>
        <v>G:\Shared drives\script_MLA_contabilidad_0004\Reporting\Provision de Operadores - RPA\Bases\Base XD Brasil [mm.aa].xlsx</v>
      </c>
      <c r="F26" s="2" t="s">
        <v>62</v>
      </c>
      <c r="G26" s="2" t="s">
        <v>80</v>
      </c>
      <c r="H26" s="4" t="str">
        <f>Rutas!$A$2&amp;"Macros\Ejemplos Macros\"</f>
        <v>G:\Shared drives\script_MLA_contabilidad_0004\Reporting\Provision de Operadores - RPA\Macros\Ejemplos Macros\</v>
      </c>
      <c r="I26" s="1" t="s">
        <v>262</v>
      </c>
      <c r="J26" s="21"/>
      <c r="K26" s="1" t="s">
        <v>246</v>
      </c>
      <c r="P2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Recife|ext_lacernic@mercadolibre.com|G:\Shared drives\script_MLA_contabilidad_0004\Reporting\Provision de Operadores - RPA\Bases\Base XD Brasil [mm.aa].xlsx|Macro AR SA XD Brasil</v>
      </c>
    </row>
    <row r="27" spans="1:26" ht="15.75" customHeight="1" x14ac:dyDescent="0.25">
      <c r="A27" s="2" t="s">
        <v>58</v>
      </c>
      <c r="B27" s="2" t="s">
        <v>59</v>
      </c>
      <c r="C27" s="2" t="s">
        <v>81</v>
      </c>
      <c r="D27" s="3" t="s">
        <v>12</v>
      </c>
      <c r="E27" s="1" t="str">
        <f>Rutas!$A$2&amp;"Bases\"&amp;F27</f>
        <v>G:\Shared drives\script_MLA_contabilidad_0004\Reporting\Provision de Operadores - RPA\Bases\Base XD Brasil [mm.aa].xlsx</v>
      </c>
      <c r="F27" s="2" t="s">
        <v>62</v>
      </c>
      <c r="G27" s="2" t="s">
        <v>82</v>
      </c>
      <c r="H27" s="4" t="str">
        <f>Rutas!$A$2&amp;"Macros\Ejemplos Macros\"</f>
        <v>G:\Shared drives\script_MLA_contabilidad_0004\Reporting\Provision de Operadores - RPA\Macros\Ejemplos Macros\</v>
      </c>
      <c r="I27" s="1" t="s">
        <v>262</v>
      </c>
      <c r="J27" s="21"/>
      <c r="K27" s="1" t="s">
        <v>246</v>
      </c>
      <c r="P2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Salvador|ext_lacernic@mercadolibre.com|G:\Shared drives\script_MLA_contabilidad_0004\Reporting\Provision de Operadores - RPA\Bases\Base XD Brasil [mm.aa].xlsx|Macro AR SA XD Brasil</v>
      </c>
    </row>
    <row r="28" spans="1:26" ht="15.75" customHeight="1" x14ac:dyDescent="0.25">
      <c r="A28" s="2" t="s">
        <v>58</v>
      </c>
      <c r="B28" s="2" t="s">
        <v>59</v>
      </c>
      <c r="C28" s="2" t="s">
        <v>83</v>
      </c>
      <c r="D28" s="3" t="s">
        <v>12</v>
      </c>
      <c r="E28" s="1" t="str">
        <f>Rutas!$A$2&amp;"Bases\"&amp;F28</f>
        <v>G:\Shared drives\script_MLA_contabilidad_0004\Reporting\Provision de Operadores - RPA\Bases\Base XD Brasil [mm.aa].xlsx</v>
      </c>
      <c r="F28" s="2" t="s">
        <v>62</v>
      </c>
      <c r="G28" s="2" t="s">
        <v>84</v>
      </c>
      <c r="H28" s="4" t="str">
        <f>Rutas!$A$2&amp;"Macros\Ejemplos Macros\"</f>
        <v>G:\Shared drives\script_MLA_contabilidad_0004\Reporting\Provision de Operadores - RPA\Macros\Ejemplos Macros\</v>
      </c>
      <c r="I28" s="1" t="s">
        <v>262</v>
      </c>
      <c r="J28" s="21"/>
      <c r="K28" s="1" t="s">
        <v>246</v>
      </c>
      <c r="P28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Goiania|ext_lacernic@mercadolibre.com|G:\Shared drives\script_MLA_contabilidad_0004\Reporting\Provision de Operadores - RPA\Bases\Base XD Brasil [mm.aa].xlsx|Macro AR SA XD Brasil</v>
      </c>
    </row>
    <row r="29" spans="1:26" ht="15.75" customHeight="1" x14ac:dyDescent="0.25">
      <c r="A29" s="2" t="s">
        <v>58</v>
      </c>
      <c r="B29" s="2" t="s">
        <v>59</v>
      </c>
      <c r="C29" s="2" t="s">
        <v>85</v>
      </c>
      <c r="D29" s="3" t="s">
        <v>12</v>
      </c>
      <c r="E29" s="1" t="str">
        <f>Rutas!$A$2&amp;"Bases\"&amp;F29</f>
        <v>G:\Shared drives\script_MLA_contabilidad_0004\Reporting\Provision de Operadores - RPA\Bases\Base XD Brasil [mm.aa].xlsx</v>
      </c>
      <c r="F29" s="2" t="s">
        <v>62</v>
      </c>
      <c r="G29" s="2" t="s">
        <v>86</v>
      </c>
      <c r="H29" s="4" t="str">
        <f>Rutas!$A$2&amp;"Macros\Ejemplos Macros\"</f>
        <v>G:\Shared drives\script_MLA_contabilidad_0004\Reporting\Provision de Operadores - RPA\Macros\Ejemplos Macros\</v>
      </c>
      <c r="I29" s="1" t="s">
        <v>262</v>
      </c>
      <c r="J29" s="21"/>
      <c r="K29" s="1" t="s">
        <v>246</v>
      </c>
      <c r="P2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Curitiba|ext_lacernic@mercadolibre.com|G:\Shared drives\script_MLA_contabilidad_0004\Reporting\Provision de Operadores - RPA\Bases\Base XD Brasil [mm.aa].xlsx|Macro AR SA XD Brasil</v>
      </c>
    </row>
    <row r="30" spans="1:26" ht="15.75" customHeight="1" x14ac:dyDescent="0.25">
      <c r="A30" s="1" t="s">
        <v>58</v>
      </c>
      <c r="B30" s="1" t="s">
        <v>59</v>
      </c>
      <c r="C30" s="1" t="s">
        <v>265</v>
      </c>
      <c r="D30" s="3" t="s">
        <v>12</v>
      </c>
      <c r="E30" s="1" t="str">
        <f>Rutas!$A$2&amp;"Bases\"&amp;F30</f>
        <v>G:\Shared drives\script_MLA_contabilidad_0004\Reporting\Provision de Operadores - RPA\Bases\Base XD Brasil [mm.aa].xlsx</v>
      </c>
      <c r="F30" s="1" t="s">
        <v>62</v>
      </c>
      <c r="G30" s="1" t="s">
        <v>266</v>
      </c>
      <c r="H30" s="4" t="str">
        <f>Rutas!$A$2&amp;"Macros\Ejemplos Macros\"</f>
        <v>G:\Shared drives\script_MLA_contabilidad_0004\Reporting\Provision de Operadores - RPA\Macros\Ejemplos Macros\</v>
      </c>
      <c r="I30" s="1" t="s">
        <v>267</v>
      </c>
      <c r="J30" s="21"/>
      <c r="K30" s="1" t="s">
        <v>246</v>
      </c>
      <c r="L30" s="4"/>
      <c r="M30" s="4"/>
      <c r="N30" s="4"/>
      <c r="O30" s="4"/>
      <c r="P30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Guarulhos II|ext_lacernic@mercadolibre.com|G:\Shared drives\script_MLA_contabilidad_0004\Reporting\Provision de Operadores - RPA\Bases\Base XD Brasil [mm.aa].xlsx|Macro SG XD Guarulhos II</v>
      </c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25">
      <c r="A31" s="2" t="s">
        <v>58</v>
      </c>
      <c r="B31" s="2" t="s">
        <v>59</v>
      </c>
      <c r="C31" s="2" t="s">
        <v>87</v>
      </c>
      <c r="D31" s="3" t="s">
        <v>12</v>
      </c>
      <c r="E31" s="1" t="str">
        <f>Rutas!$A$2&amp;"Bases\"&amp;F31</f>
        <v>G:\Shared drives\script_MLA_contabilidad_0004\Reporting\Provision de Operadores - RPA\Bases\Base XD Brasil [mm.aa].xlsx</v>
      </c>
      <c r="F31" s="2" t="s">
        <v>62</v>
      </c>
      <c r="G31" s="2" t="s">
        <v>88</v>
      </c>
      <c r="H31" s="4" t="str">
        <f>Rutas!$A$2&amp;"Macros\Ejemplos Macros\"</f>
        <v>G:\Shared drives\script_MLA_contabilidad_0004\Reporting\Provision de Operadores - RPA\Macros\Ejemplos Macros\</v>
      </c>
      <c r="I31" s="1" t="s">
        <v>262</v>
      </c>
      <c r="J31" s="21"/>
      <c r="K31" s="1" t="s">
        <v>246</v>
      </c>
      <c r="P31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Guarulhos|ext_lacernic@mercadolibre.com|G:\Shared drives\script_MLA_contabilidad_0004\Reporting\Provision de Operadores - RPA\Bases\Base XD Brasil [mm.aa].xlsx|Macro AR SA XD Brasil</v>
      </c>
    </row>
    <row r="32" spans="1:26" ht="15.75" customHeight="1" x14ac:dyDescent="0.25">
      <c r="A32" s="2" t="s">
        <v>58</v>
      </c>
      <c r="B32" s="2" t="s">
        <v>59</v>
      </c>
      <c r="C32" s="2" t="s">
        <v>89</v>
      </c>
      <c r="D32" s="3" t="s">
        <v>12</v>
      </c>
      <c r="E32" s="1" t="str">
        <f>Rutas!$A$2&amp;"Bases\"&amp;F32</f>
        <v>G:\Shared drives\script_MLA_contabilidad_0004\Reporting\Provision de Operadores - RPA\Bases\Base FF Brasil [mm.aa].xlsx</v>
      </c>
      <c r="F32" s="2" t="s">
        <v>90</v>
      </c>
      <c r="G32" s="2" t="s">
        <v>91</v>
      </c>
      <c r="H32" s="4" t="str">
        <f>Rutas!$A$2&amp;"Macros\Ejemplos Macros\"</f>
        <v>G:\Shared drives\script_MLA_contabilidad_0004\Reporting\Provision de Operadores - RPA\Macros\Ejemplos Macros\</v>
      </c>
      <c r="I32" s="2" t="s">
        <v>268</v>
      </c>
      <c r="J32" s="2"/>
      <c r="K32" s="2" t="s">
        <v>246</v>
      </c>
      <c r="P3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"UNIDOCKS|Brasil|FBM Anhanguera|ext_lacernic@mercadolibre.com|G:\Shared drives\script_MLA_contabilidad_0004\Reporting\Provision de Operadores - RPA\Bases\Base FF Brasil [mm.aa].xlsx|Macro SG Brasil FBM Anhanguera</v>
      </c>
    </row>
    <row r="33" spans="1:26" ht="15.75" customHeight="1" x14ac:dyDescent="0.25">
      <c r="A33" s="2" t="s">
        <v>58</v>
      </c>
      <c r="B33" s="2" t="s">
        <v>59</v>
      </c>
      <c r="C33" s="2" t="s">
        <v>92</v>
      </c>
      <c r="D33" s="3" t="s">
        <v>61</v>
      </c>
      <c r="E33" s="1" t="str">
        <f>Rutas!$A$2&amp;"Bases\"&amp;F33</f>
        <v>G:\Shared drives\script_MLA_contabilidad_0004\Reporting\Provision de Operadores - RPA\Bases\Base FF Brasil [mm.aa].xlsx</v>
      </c>
      <c r="F33" s="2" t="s">
        <v>90</v>
      </c>
      <c r="G33" s="2" t="s">
        <v>93</v>
      </c>
      <c r="H33" s="4" t="str">
        <f>Rutas!$A$2&amp;"Macros\Ejemplos Macros\"</f>
        <v>G:\Shared drives\script_MLA_contabilidad_0004\Reporting\Provision de Operadores - RPA\Macros\Ejemplos Macros\</v>
      </c>
      <c r="I33" s="2" t="s">
        <v>269</v>
      </c>
      <c r="J33" s="2"/>
      <c r="K33" s="2" t="s">
        <v>246</v>
      </c>
      <c r="P3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"UNIDOCKS|Brasil|FBM Cajamar|sofia.gatti@mercadolibre.com|G:\Shared drives\script_MLA_contabilidad_0004\Reporting\Provision de Operadores - RPA\Bases\Base FF Brasil [mm.aa].xlsx|Macro SG Brasil FBM Cajamar</v>
      </c>
    </row>
    <row r="34" spans="1:26" ht="15.75" customHeight="1" x14ac:dyDescent="0.25">
      <c r="A34" s="2" t="s">
        <v>16</v>
      </c>
      <c r="B34" s="2" t="s">
        <v>59</v>
      </c>
      <c r="C34" s="2" t="s">
        <v>94</v>
      </c>
      <c r="D34" s="3" t="s">
        <v>12</v>
      </c>
      <c r="E34" s="1" t="str">
        <f>Rutas!$A$2&amp;"Bases\"&amp;F34</f>
        <v>G:\Shared drives\script_MLA_contabilidad_0004\Reporting\Provision de Operadores - RPA\Bases\Base FF Brasil [mm.aa].xlsx</v>
      </c>
      <c r="F34" s="2" t="s">
        <v>90</v>
      </c>
      <c r="G34" s="2" t="s">
        <v>95</v>
      </c>
      <c r="H34" s="4" t="str">
        <f>Rutas!$A$2&amp;"Macros\Ejemplos Macros\"</f>
        <v>G:\Shared drives\script_MLA_contabilidad_0004\Reporting\Provision de Operadores - RPA\Macros\Ejemplos Macros\</v>
      </c>
      <c r="I34" s="2" t="s">
        <v>270</v>
      </c>
      <c r="J34" s="1"/>
      <c r="K34" s="2" t="s">
        <v>246</v>
      </c>
      <c r="P3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"CEVA|Brasil|FBM Louveira|ext_lacernic@mercadolibre.com|G:\Shared drives\script_MLA_contabilidad_0004\Reporting\Provision de Operadores - RPA\Bases\Base FF Brasil [mm.aa].xlsx|Macro SG Brasil FBM Louveira</v>
      </c>
    </row>
    <row r="35" spans="1:26" ht="15.75" customHeight="1" x14ac:dyDescent="0.25">
      <c r="A35" s="1" t="s">
        <v>271</v>
      </c>
      <c r="B35" s="2" t="s">
        <v>97</v>
      </c>
      <c r="C35" s="2" t="s">
        <v>272</v>
      </c>
      <c r="D35" s="3" t="s">
        <v>99</v>
      </c>
      <c r="E35" s="1" t="str">
        <f>Rutas!$A$2&amp;"Bases\"&amp;F35</f>
        <v>G:\Shared drives\script_MLA_contabilidad_0004\Reporting\Provision de Operadores - RPA\Bases\Base SVC Argentina [mm.aa].xlsx</v>
      </c>
      <c r="F35" s="2" t="s">
        <v>100</v>
      </c>
      <c r="G35" s="1" t="s">
        <v>101</v>
      </c>
      <c r="H35" s="4" t="str">
        <f>Rutas!$A$2&amp;"Macros\Ejemplos Macros\"</f>
        <v>G:\Shared drives\script_MLA_contabilidad_0004\Reporting\Provision de Operadores - RPA\Macros\Ejemplos Macros\</v>
      </c>
      <c r="I35" s="2" t="s">
        <v>273</v>
      </c>
      <c r="J35" s="1" t="s">
        <v>274</v>
      </c>
      <c r="K35" s="1" t="s">
        <v>246</v>
      </c>
      <c r="P3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"Fasttrack|Argentina|SVC Lanus|ext_fepoblet@mercadolibre.com|G:\Shared drives\script_MLA_contabilidad_0004\Reporting\Provision de Operadores - RPA\Bases\Base SVC Argentina [mm.aa].xlsx|Macro AR SA Argentina SVC0C_SBU1</v>
      </c>
    </row>
    <row r="36" spans="1:26" ht="15.75" customHeight="1" x14ac:dyDescent="0.25">
      <c r="A36" s="1" t="s">
        <v>271</v>
      </c>
      <c r="B36" s="2" t="s">
        <v>97</v>
      </c>
      <c r="C36" s="2" t="s">
        <v>103</v>
      </c>
      <c r="D36" s="3" t="s">
        <v>99</v>
      </c>
      <c r="E36" s="1" t="str">
        <f>Rutas!$A$2&amp;"Bases\"&amp;F36</f>
        <v>G:\Shared drives\script_MLA_contabilidad_0004\Reporting\Provision de Operadores - RPA\Bases\Base SVC Argentina [mm.aa].xlsx</v>
      </c>
      <c r="F36" s="2" t="s">
        <v>100</v>
      </c>
      <c r="G36" s="1" t="s">
        <v>104</v>
      </c>
      <c r="H36" s="4" t="str">
        <f>Rutas!$A$2&amp;"Macros\Ejemplos Macros\"</f>
        <v>G:\Shared drives\script_MLA_contabilidad_0004\Reporting\Provision de Operadores - RPA\Macros\Ejemplos Macros\</v>
      </c>
      <c r="I36" s="1" t="s">
        <v>273</v>
      </c>
      <c r="J36" s="1" t="s">
        <v>275</v>
      </c>
      <c r="K36" s="1" t="s">
        <v>246</v>
      </c>
      <c r="P3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"Fasttrack|Argentina|SVC Alcorta|ext_fepoblet@mercadolibre.com|G:\Shared drives\script_MLA_contabilidad_0004\Reporting\Provision de Operadores - RPA\Bases\Base SVC Argentina [mm.aa].xlsx|Macro AR SA Argentina SVC0C_SCF2</v>
      </c>
    </row>
    <row r="37" spans="1:26" ht="15.75" customHeight="1" x14ac:dyDescent="0.25">
      <c r="A37" s="1" t="s">
        <v>271</v>
      </c>
      <c r="B37" s="2" t="s">
        <v>97</v>
      </c>
      <c r="C37" s="2" t="s">
        <v>105</v>
      </c>
      <c r="D37" s="3" t="s">
        <v>99</v>
      </c>
      <c r="E37" s="1" t="str">
        <f>Rutas!$A$2&amp;"Bases\"&amp;F37</f>
        <v>G:\Shared drives\script_MLA_contabilidad_0004\Reporting\Provision de Operadores - RPA\Bases\Base SVC Argentina [mm.aa].xlsx</v>
      </c>
      <c r="F37" s="2" t="s">
        <v>100</v>
      </c>
      <c r="G37" s="1" t="s">
        <v>106</v>
      </c>
      <c r="H37" s="4" t="str">
        <f>Rutas!$A$2&amp;"Macros\Ejemplos Macros\"</f>
        <v>G:\Shared drives\script_MLA_contabilidad_0004\Reporting\Provision de Operadores - RPA\Macros\Ejemplos Macros\</v>
      </c>
      <c r="I37" s="1" t="s">
        <v>273</v>
      </c>
      <c r="J37" s="1" t="s">
        <v>276</v>
      </c>
      <c r="K37" s="1" t="s">
        <v>246</v>
      </c>
      <c r="P3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"Fasttrack|Argentina|SVC Morón|ext_fepoblet@mercadolibre.com|G:\Shared drives\script_MLA_contabilidad_0004\Reporting\Provision de Operadores - RPA\Bases\Base SVC Argentina [mm.aa].xlsx|Macro AR SA Argentina SVC0C_SBU2</v>
      </c>
    </row>
    <row r="38" spans="1:26" ht="15.75" customHeight="1" x14ac:dyDescent="0.25">
      <c r="A38" s="2" t="s">
        <v>271</v>
      </c>
      <c r="B38" s="2" t="s">
        <v>97</v>
      </c>
      <c r="C38" s="2" t="s">
        <v>107</v>
      </c>
      <c r="D38" s="3" t="s">
        <v>99</v>
      </c>
      <c r="E38" s="1" t="str">
        <f>Rutas!$A$2&amp;"Bases\"&amp;F38</f>
        <v>G:\Shared drives\script_MLA_contabilidad_0004\Reporting\Provision de Operadores - RPA\Bases\Base SVC Argentina [mm.aa].xlsx</v>
      </c>
      <c r="F38" s="2" t="s">
        <v>100</v>
      </c>
      <c r="G38" s="1" t="s">
        <v>108</v>
      </c>
      <c r="H38" s="4" t="str">
        <f>Rutas!$A$2&amp;"Macros\Ejemplos Macros\"</f>
        <v>G:\Shared drives\script_MLA_contabilidad_0004\Reporting\Provision de Operadores - RPA\Macros\Ejemplos Macros\</v>
      </c>
      <c r="I38" s="1" t="s">
        <v>273</v>
      </c>
      <c r="J38" s="1" t="s">
        <v>277</v>
      </c>
      <c r="K38" s="2" t="s">
        <v>246</v>
      </c>
      <c r="P38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"Fasttrack|Argentina|SVC Munro|ext_fepoblet@mercadolibre.com|G:\Shared drives\script_MLA_contabilidad_0004\Reporting\Provision de Operadores - RPA\Bases\Base SVC Argentina [mm.aa].xlsx|Macro AR SA Argentina SVC0C_SBU3</v>
      </c>
    </row>
    <row r="39" spans="1:26" ht="15.75" customHeight="1" x14ac:dyDescent="0.25">
      <c r="A39" s="1" t="s">
        <v>58</v>
      </c>
      <c r="B39" s="1" t="s">
        <v>59</v>
      </c>
      <c r="C39" s="1" t="s">
        <v>109</v>
      </c>
      <c r="D39" s="3" t="s">
        <v>12</v>
      </c>
      <c r="E39" s="1" t="str">
        <f>Rutas!$A$2&amp;"Bases\"&amp;F39</f>
        <v>G:\Shared drives\script_MLA_contabilidad_0004\Reporting\Provision de Operadores - RPA\Bases\Base AirHUB Brasil [mm.aa].xlsx</v>
      </c>
      <c r="F39" s="1" t="s">
        <v>110</v>
      </c>
      <c r="G39" s="1" t="s">
        <v>278</v>
      </c>
      <c r="H39" s="4" t="str">
        <f>Rutas!$A$2&amp;"Macros\Ejemplos Macros\"</f>
        <v>G:\Shared drives\script_MLA_contabilidad_0004\Reporting\Provision de Operadores - RPA\Macros\Ejemplos Macros\</v>
      </c>
      <c r="I39" s="1" t="s">
        <v>262</v>
      </c>
      <c r="J39" s="2" t="s">
        <v>279</v>
      </c>
      <c r="K39" s="1" t="s">
        <v>246</v>
      </c>
      <c r="P3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"UNIDOCKS|Brasil|AirHUB Guarulhos|ext_lacernic@mercadolibre.com|G:\Shared drives\script_MLA_contabilidad_0004\Reporting\Provision de Operadores - RPA\Bases\Base AirHUB Brasil [mm.aa].xlsx|Macro AR SA XD Brasil0c_AHGRU</v>
      </c>
    </row>
    <row r="40" spans="1:26" ht="15.75" customHeight="1" x14ac:dyDescent="0.25">
      <c r="A40" s="1" t="s">
        <v>16</v>
      </c>
      <c r="B40" s="1" t="s">
        <v>17</v>
      </c>
      <c r="C40" s="1" t="s">
        <v>112</v>
      </c>
      <c r="D40" s="3" t="s">
        <v>12</v>
      </c>
      <c r="E40" s="1" t="str">
        <f>Rutas!$A$2&amp;"Bases\"&amp;F40</f>
        <v>G:\Shared drives\script_MLA_contabilidad_0004\Reporting\Provision de Operadores - RPA\Bases\Base SVC Chile [mm.aa].xlsx</v>
      </c>
      <c r="F40" s="1" t="s">
        <v>25</v>
      </c>
      <c r="G40" s="1" t="s">
        <v>113</v>
      </c>
      <c r="H40" s="4" t="str">
        <f>Rutas!$A$2&amp;"Macros\Ejemplos Macros\"</f>
        <v>G:\Shared drives\script_MLA_contabilidad_0004\Reporting\Provision de Operadores - RPA\Macros\Ejemplos Macros\</v>
      </c>
      <c r="I40" s="1"/>
      <c r="J40" s="1" t="s">
        <v>280</v>
      </c>
      <c r="K40" s="1" t="s">
        <v>246</v>
      </c>
      <c r="P40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AntoGoLive|ext_lacernic@mercadolibre.com|G:\Shared drives\script_MLA_contabilidad_0004\Reporting\Provision de Operadores - RPA\Bases\Base SVC Chile [mm.aa].xlsx|0C_SC_A1</v>
      </c>
    </row>
    <row r="41" spans="1:26" ht="15.75" customHeight="1" x14ac:dyDescent="0.25">
      <c r="A41" s="1" t="s">
        <v>16</v>
      </c>
      <c r="B41" s="1" t="s">
        <v>17</v>
      </c>
      <c r="C41" s="1" t="s">
        <v>114</v>
      </c>
      <c r="D41" s="3" t="s">
        <v>12</v>
      </c>
      <c r="E41" s="1" t="str">
        <f>Rutas!$A$2&amp;"Bases\"&amp;F41</f>
        <v>G:\Shared drives\script_MLA_contabilidad_0004\Reporting\Provision de Operadores - RPA\Bases\Base SVC Chile [mm.aa].xlsx</v>
      </c>
      <c r="F41" s="1" t="s">
        <v>25</v>
      </c>
      <c r="G41" s="1" t="s">
        <v>115</v>
      </c>
      <c r="H41" s="4" t="str">
        <f>Rutas!$A$2&amp;"Macros\Ejemplos Macros\"</f>
        <v>G:\Shared drives\script_MLA_contabilidad_0004\Reporting\Provision de Operadores - RPA\Macros\Ejemplos Macros\</v>
      </c>
      <c r="I41" s="52" t="s">
        <v>1648</v>
      </c>
      <c r="J41" s="1" t="s">
        <v>280</v>
      </c>
      <c r="K41" s="32" t="s">
        <v>246</v>
      </c>
      <c r="P41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Antofagasta|ext_lacernic@mercadolibre.com|G:\Shared drives\script_MLA_contabilidad_0004\Reporting\Provision de Operadores - RPA\Bases\Base SVC Chile [mm.aa].xlsx|Macro AR SA Chile SVC_XD 070C_SC_A1</v>
      </c>
    </row>
    <row r="42" spans="1:26" ht="15.75" customHeight="1" x14ac:dyDescent="0.25">
      <c r="A42" s="1" t="s">
        <v>16</v>
      </c>
      <c r="B42" s="1" t="s">
        <v>17</v>
      </c>
      <c r="C42" s="1" t="s">
        <v>116</v>
      </c>
      <c r="D42" s="3" t="s">
        <v>12</v>
      </c>
      <c r="E42" s="1" t="str">
        <f>Rutas!$A$2&amp;"Bases\"&amp;F42</f>
        <v>G:\Shared drives\script_MLA_contabilidad_0004\Reporting\Provision de Operadores - RPA\Bases\Base SVC Chile [mm.aa].xlsx</v>
      </c>
      <c r="F42" s="1" t="s">
        <v>25</v>
      </c>
      <c r="G42" s="1" t="s">
        <v>117</v>
      </c>
      <c r="H42" s="4" t="str">
        <f>Rutas!$A$2&amp;"Macros\Ejemplos Macros\"</f>
        <v>G:\Shared drives\script_MLA_contabilidad_0004\Reporting\Provision de Operadores - RPA\Macros\Ejemplos Macros\</v>
      </c>
      <c r="I42" s="1"/>
      <c r="J42" s="1" t="s">
        <v>252</v>
      </c>
      <c r="K42" s="1" t="s">
        <v>246</v>
      </c>
      <c r="P4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ConcepGoLive|ext_lacernic@mercadolibre.com|G:\Shared drives\script_MLA_contabilidad_0004\Reporting\Provision de Operadores - RPA\Bases\Base SVC Chile [mm.aa].xlsx|0C_SC_B1</v>
      </c>
    </row>
    <row r="43" spans="1:26" ht="15.75" customHeight="1" x14ac:dyDescent="0.25">
      <c r="A43" s="1" t="s">
        <v>16</v>
      </c>
      <c r="B43" s="1" t="s">
        <v>17</v>
      </c>
      <c r="C43" s="1" t="s">
        <v>118</v>
      </c>
      <c r="D43" s="3" t="s">
        <v>12</v>
      </c>
      <c r="E43" s="1" t="str">
        <f>Rutas!$A$2&amp;"Bases\"&amp;F43</f>
        <v>G:\Shared drives\script_MLA_contabilidad_0004\Reporting\Provision de Operadores - RPA\Bases\Base SVC Chile [mm.aa].xlsx</v>
      </c>
      <c r="F43" s="1" t="s">
        <v>25</v>
      </c>
      <c r="G43" s="1" t="s">
        <v>119</v>
      </c>
      <c r="H43" s="4" t="str">
        <f>Rutas!$A$2&amp;"Macros\Ejemplos Macros\"</f>
        <v>G:\Shared drives\script_MLA_contabilidad_0004\Reporting\Provision de Operadores - RPA\Macros\Ejemplos Macros\</v>
      </c>
      <c r="I43" s="1"/>
      <c r="J43" s="1" t="s">
        <v>250</v>
      </c>
      <c r="K43" s="1" t="s">
        <v>246</v>
      </c>
      <c r="P4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CoqGoLive|ext_lacernic@mercadolibre.com|G:\Shared drives\script_MLA_contabilidad_0004\Reporting\Provision de Operadores - RPA\Bases\Base SVC Chile [mm.aa].xlsx|0C_SC_D1</v>
      </c>
    </row>
    <row r="44" spans="1:26" ht="15.75" customHeight="1" x14ac:dyDescent="0.25">
      <c r="A44" s="1" t="s">
        <v>16</v>
      </c>
      <c r="B44" s="1" t="s">
        <v>17</v>
      </c>
      <c r="C44" s="1" t="s">
        <v>120</v>
      </c>
      <c r="D44" s="3" t="s">
        <v>12</v>
      </c>
      <c r="E44" s="1" t="str">
        <f>Rutas!$A$2&amp;"Bases\"&amp;F44</f>
        <v>G:\Shared drives\script_MLA_contabilidad_0004\Reporting\Provision de Operadores - RPA\Bases\Base SVC Chile [mm.aa].xlsx</v>
      </c>
      <c r="F44" s="1" t="s">
        <v>25</v>
      </c>
      <c r="G44" s="1" t="s">
        <v>121</v>
      </c>
      <c r="H44" s="4" t="str">
        <f>Rutas!$A$2&amp;"Macros\Ejemplos Macros\"</f>
        <v>G:\Shared drives\script_MLA_contabilidad_0004\Reporting\Provision de Operadores - RPA\Macros\Ejemplos Macros\</v>
      </c>
      <c r="I44" s="1"/>
      <c r="J44" s="1" t="s">
        <v>251</v>
      </c>
      <c r="K44" s="1" t="s">
        <v>246</v>
      </c>
      <c r="P4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RancaGoLive|ext_lacernic@mercadolibre.com|G:\Shared drives\script_MLA_contabilidad_0004\Reporting\Provision de Operadores - RPA\Bases\Base SVC Chile [mm.aa].xlsx|0C_SC_R1</v>
      </c>
    </row>
    <row r="45" spans="1:26" ht="15.75" customHeight="1" x14ac:dyDescent="0.25">
      <c r="A45" s="1" t="s">
        <v>16</v>
      </c>
      <c r="B45" s="1" t="s">
        <v>17</v>
      </c>
      <c r="C45" s="1" t="s">
        <v>122</v>
      </c>
      <c r="D45" s="3" t="s">
        <v>12</v>
      </c>
      <c r="E45" s="1" t="str">
        <f>Rutas!$A$2&amp;"Bases\"&amp;F45</f>
        <v>G:\Shared drives\script_MLA_contabilidad_0004\Reporting\Provision de Operadores - RPA\Bases\Base SVC Chile [mm.aa].xlsx</v>
      </c>
      <c r="F45" s="1" t="s">
        <v>25</v>
      </c>
      <c r="G45" s="1" t="s">
        <v>123</v>
      </c>
      <c r="H45" s="4" t="str">
        <f>Rutas!$A$2&amp;"Macros\Ejemplos Macros\"</f>
        <v>G:\Shared drives\script_MLA_contabilidad_0004\Reporting\Provision de Operadores - RPA\Macros\Ejemplos Macros\</v>
      </c>
      <c r="I45" s="1"/>
      <c r="J45" s="1" t="s">
        <v>245</v>
      </c>
      <c r="K45" s="1" t="s">
        <v>246</v>
      </c>
      <c r="P4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Renca1_StartUp|ext_lacernic@mercadolibre.com|G:\Shared drives\script_MLA_contabilidad_0004\Reporting\Provision de Operadores - RPA\Bases\Base SVC Chile [mm.aa].xlsx|0C_SC_C1</v>
      </c>
    </row>
    <row r="46" spans="1:26" ht="15.75" customHeight="1" x14ac:dyDescent="0.25">
      <c r="A46" s="1" t="s">
        <v>16</v>
      </c>
      <c r="B46" s="1" t="s">
        <v>17</v>
      </c>
      <c r="C46" s="1" t="s">
        <v>124</v>
      </c>
      <c r="D46" s="3" t="s">
        <v>12</v>
      </c>
      <c r="E46" s="1" t="str">
        <f>Rutas!$A$2&amp;"Bases\"&amp;F46</f>
        <v>G:\Shared drives\script_MLA_contabilidad_0004\Reporting\Provision de Operadores - RPA\Bases\Base SVC Chile [mm.aa].xlsx</v>
      </c>
      <c r="F46" s="1" t="s">
        <v>25</v>
      </c>
      <c r="G46" s="1" t="s">
        <v>125</v>
      </c>
      <c r="H46" s="4" t="str">
        <f>Rutas!$A$2&amp;"Macros\Ejemplos Macros\"</f>
        <v>G:\Shared drives\script_MLA_contabilidad_0004\Reporting\Provision de Operadores - RPA\Macros\Ejemplos Macros\</v>
      </c>
      <c r="I46" s="1"/>
      <c r="J46" s="1" t="s">
        <v>247</v>
      </c>
      <c r="K46" s="1" t="s">
        <v>246</v>
      </c>
      <c r="P4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Renca2_StartUp|ext_lacernic@mercadolibre.com|G:\Shared drives\script_MLA_contabilidad_0004\Reporting\Provision de Operadores - RPA\Bases\Base SVC Chile [mm.aa].xlsx|0C_SC_P1</v>
      </c>
    </row>
    <row r="47" spans="1:26" ht="15.75" customHeight="1" x14ac:dyDescent="0.25">
      <c r="A47" s="17" t="s">
        <v>58</v>
      </c>
      <c r="B47" s="1" t="s">
        <v>59</v>
      </c>
      <c r="C47" s="1" t="s">
        <v>126</v>
      </c>
      <c r="D47" s="3" t="s">
        <v>12</v>
      </c>
      <c r="E47" s="1" t="str">
        <f>Rutas!$A$2&amp;"Bases\"&amp;F47</f>
        <v>G:\Shared drives\script_MLA_contabilidad_0004\Reporting\Provision de Operadores - RPA\Bases\Base FF Brasil [mm.aa].xlsx</v>
      </c>
      <c r="F47" s="1" t="s">
        <v>90</v>
      </c>
      <c r="G47" s="1" t="s">
        <v>127</v>
      </c>
      <c r="H47" s="4" t="str">
        <f>Rutas!$A$2&amp;"Macros\Ejemplos Macros\"</f>
        <v>G:\Shared drives\script_MLA_contabilidad_0004\Reporting\Provision de Operadores - RPA\Macros\Ejemplos Macros\</v>
      </c>
      <c r="I47" s="1" t="s">
        <v>281</v>
      </c>
      <c r="J47" s="1"/>
      <c r="K47" s="1" t="s">
        <v>246</v>
      </c>
      <c r="P4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"UNIDOCKS|Brasil|FBM Jordanesia|ext_lacernic@mercadolibre.com|G:\Shared drives\script_MLA_contabilidad_0004\Reporting\Provision de Operadores - RPA\Bases\Base FF Brasil [mm.aa].xlsx|Macro SA Brasil FBM Jordanesia</v>
      </c>
    </row>
    <row r="48" spans="1:26" ht="15.75" customHeight="1" x14ac:dyDescent="0.25">
      <c r="A48" s="1" t="s">
        <v>38</v>
      </c>
      <c r="B48" s="1" t="s">
        <v>39</v>
      </c>
      <c r="C48" s="1" t="s">
        <v>128</v>
      </c>
      <c r="D48" s="3" t="s">
        <v>12</v>
      </c>
      <c r="E48" s="1" t="str">
        <f>Rutas!$A$2&amp;"Bases\"&amp;F48</f>
        <v>G:\Shared drives\script_MLA_contabilidad_0004\Reporting\Provision de Operadores - RPA\Bases\Base XD Colombia [mm.aa].xlsx</v>
      </c>
      <c r="F48" s="1" t="s">
        <v>55</v>
      </c>
      <c r="G48" s="1" t="s">
        <v>51</v>
      </c>
      <c r="H48" s="4" t="str">
        <f>Rutas!$A$2&amp;"Macros\Ejemplos Macros\"</f>
        <v>G:\Shared drives\script_MLA_contabilidad_0004\Reporting\Provision de Operadores - RPA\Macros\Ejemplos Macros\</v>
      </c>
      <c r="I48" s="4" t="s">
        <v>1631</v>
      </c>
      <c r="J48" s="1" t="s">
        <v>257</v>
      </c>
      <c r="K48" s="1" t="s">
        <v>246</v>
      </c>
      <c r="L48" s="4"/>
      <c r="M48" s="4"/>
      <c r="N48" s="4"/>
      <c r="O48" s="4"/>
      <c r="P48" t="str">
        <f>+""""&amp;Table_4[[#This Row],[Operador]]&amp;"|"&amp;Table_4[[#This Row],[País]]&amp;"|"&amp;Table_4[[#This Row],[Centro]]&amp;"|"&amp;"ext_lacernic@mercadolibre.com|C:\Users\ricardo.e.torres\Documents\ProvisionOP\Bases\Base XD Colombia 07.22.xlsx"&amp;"|"&amp;Table_4[[#This Row],[Tab base]]&amp;"|"&amp;"C:\Users\ricardo.e.torres\Documents\ProvisionOP\Macros\|Macro AR SA Colombia SVCXD 07|"&amp;Table_4[[#This Row],[Orden]]</f>
        <v>"SUPPLA|Colombia|XD Medellin|ext_lacernic@mercadolibre.com|C:\Users\ricardo.e.torres\Documents\ProvisionOP\Bases\Base XD Colombia 07.22.xlsx|Resumen Medellin|C:\Users\ricardo.e.torres\Documents\ProvisionOP\Macros\|Macro AR SA Colombia SVCXD 07|0c_SAN1</v>
      </c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1" t="s">
        <v>282</v>
      </c>
      <c r="B49" s="1" t="s">
        <v>97</v>
      </c>
      <c r="C49" s="1" t="s">
        <v>147</v>
      </c>
      <c r="D49" s="3" t="s">
        <v>99</v>
      </c>
      <c r="E49" s="1" t="str">
        <f>Rutas!$A$2&amp;"Bases\"&amp;F49</f>
        <v>G:\Shared drives\script_MLA_contabilidad_0004\Reporting\Provision de Operadores - RPA\Bases\Base XD Argentina [mm.aa].xlsx</v>
      </c>
      <c r="F49" s="1" t="s">
        <v>148</v>
      </c>
      <c r="G49" s="1" t="s">
        <v>130</v>
      </c>
      <c r="H49" s="4" t="str">
        <f>Rutas!$A$2&amp;"Macros\Ejemplos Macros\"</f>
        <v>G:\Shared drives\script_MLA_contabilidad_0004\Reporting\Provision de Operadores - RPA\Macros\Ejemplos Macros\</v>
      </c>
      <c r="I49" s="1" t="s">
        <v>283</v>
      </c>
      <c r="J49" s="1" t="s">
        <v>284</v>
      </c>
      <c r="K49" s="1" t="s">
        <v>246</v>
      </c>
      <c r="L49" s="4"/>
      <c r="M49" s="4"/>
      <c r="N49" s="4"/>
      <c r="O49" s="4"/>
      <c r="P4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"Loginter|Argentina|XD Rosario|ext_fepoblet@mercadolibre.com|G:\Shared drives\script_MLA_contabilidad_0004\Reporting\Provision de Operadores - RPA\Bases\Base XD Argentina [mm.aa].xlsx|Macro AR SA Argentina SVCXD0C_SRO1</v>
      </c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25">
      <c r="A50" s="1" t="s">
        <v>282</v>
      </c>
      <c r="B50" s="1" t="s">
        <v>97</v>
      </c>
      <c r="C50" s="1" t="s">
        <v>129</v>
      </c>
      <c r="D50" s="3" t="s">
        <v>99</v>
      </c>
      <c r="E50" s="1" t="str">
        <f>Rutas!$A$2&amp;"Bases\"&amp;F50</f>
        <v>G:\Shared drives\script_MLA_contabilidad_0004\Reporting\Provision de Operadores - RPA\Bases\Base SVC Argentina [mm.aa].xlsx</v>
      </c>
      <c r="F50" s="1" t="s">
        <v>100</v>
      </c>
      <c r="G50" s="1" t="s">
        <v>130</v>
      </c>
      <c r="H50" s="4" t="str">
        <f>Rutas!$A$2&amp;"Macros\Ejemplos Macros\"</f>
        <v>G:\Shared drives\script_MLA_contabilidad_0004\Reporting\Provision de Operadores - RPA\Macros\Ejemplos Macros\</v>
      </c>
      <c r="I50" s="1" t="s">
        <v>283</v>
      </c>
      <c r="J50" s="1" t="s">
        <v>284</v>
      </c>
      <c r="K50" s="1" t="s">
        <v>246</v>
      </c>
      <c r="P50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"Loginter|Argentina|SVC Rosario|ext_fepoblet@mercadolibre.com|G:\Shared drives\script_MLA_contabilidad_0004\Reporting\Provision de Operadores - RPA\Bases\Base SVC Argentina [mm.aa].xlsx|Macro AR SA Argentina SVCXD0C_SRO1</v>
      </c>
    </row>
    <row r="51" spans="1:26" ht="15.75" customHeight="1" x14ac:dyDescent="0.25">
      <c r="A51" s="1" t="s">
        <v>16</v>
      </c>
      <c r="B51" s="1" t="s">
        <v>17</v>
      </c>
      <c r="C51" s="2" t="s">
        <v>131</v>
      </c>
      <c r="D51" s="3" t="s">
        <v>12</v>
      </c>
      <c r="E51" s="1" t="str">
        <f>Rutas!$A$2&amp;"Bases\"&amp;F51</f>
        <v>G:\Shared drives\script_MLA_contabilidad_0004\Reporting\Provision de Operadores - RPA\Bases\Base SVC Chile [mm.aa].xlsx</v>
      </c>
      <c r="F51" s="1" t="s">
        <v>25</v>
      </c>
      <c r="G51" s="2" t="s">
        <v>132</v>
      </c>
      <c r="H51" s="4" t="str">
        <f>Rutas!$A$2&amp;"Macros\Ejemplos Macros\"</f>
        <v>G:\Shared drives\script_MLA_contabilidad_0004\Reporting\Provision de Operadores - RPA\Macros\Ejemplos Macros\</v>
      </c>
      <c r="I51" s="52" t="s">
        <v>1648</v>
      </c>
      <c r="J51" s="2" t="s">
        <v>285</v>
      </c>
      <c r="K51" s="32" t="s">
        <v>246</v>
      </c>
      <c r="P51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Chillan|ext_lacernic@mercadolibre.com|G:\Shared drives\script_MLA_contabilidad_0004\Reporting\Provision de Operadores - RPA\Bases\Base SVC Chile [mm.aa].xlsx|Macro AR SA Chile SVC_XD 070C_SC_H1</v>
      </c>
    </row>
    <row r="52" spans="1:26" ht="15.75" customHeight="1" x14ac:dyDescent="0.25">
      <c r="A52" s="1" t="s">
        <v>16</v>
      </c>
      <c r="B52" s="1" t="s">
        <v>17</v>
      </c>
      <c r="C52" s="2" t="s">
        <v>133</v>
      </c>
      <c r="D52" s="3" t="s">
        <v>12</v>
      </c>
      <c r="E52" s="1" t="str">
        <f>Rutas!$A$2&amp;"Bases\"&amp;F52</f>
        <v>G:\Shared drives\script_MLA_contabilidad_0004\Reporting\Provision de Operadores - RPA\Bases\Base SVC Chile [mm.aa].xlsx</v>
      </c>
      <c r="F52" s="1" t="s">
        <v>25</v>
      </c>
      <c r="G52" s="2" t="s">
        <v>134</v>
      </c>
      <c r="H52" s="4" t="str">
        <f>Rutas!$A$2&amp;"Macros\Ejemplos Macros\"</f>
        <v>G:\Shared drives\script_MLA_contabilidad_0004\Reporting\Provision de Operadores - RPA\Macros\Ejemplos Macros\</v>
      </c>
      <c r="I52" s="32"/>
      <c r="J52" s="1" t="s">
        <v>285</v>
      </c>
      <c r="K52" s="2" t="s">
        <v>246</v>
      </c>
      <c r="P5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ChillGoLive|ext_lacernic@mercadolibre.com|G:\Shared drives\script_MLA_contabilidad_0004\Reporting\Provision de Operadores - RPA\Bases\Base SVC Chile [mm.aa].xlsx|0C_SC_H1</v>
      </c>
    </row>
    <row r="53" spans="1:26" ht="15.75" customHeight="1" x14ac:dyDescent="0.25">
      <c r="A53" s="1" t="s">
        <v>16</v>
      </c>
      <c r="B53" s="1" t="s">
        <v>17</v>
      </c>
      <c r="C53" s="1" t="s">
        <v>135</v>
      </c>
      <c r="D53" s="3" t="s">
        <v>12</v>
      </c>
      <c r="E53" s="1" t="str">
        <f>Rutas!$A$2&amp;"Bases\"&amp;F53</f>
        <v>G:\Shared drives\script_MLA_contabilidad_0004\Reporting\Provision de Operadores - RPA\Bases\Base SVC Chile [mm.aa].xlsx</v>
      </c>
      <c r="F53" s="1" t="s">
        <v>25</v>
      </c>
      <c r="G53" s="1" t="s">
        <v>136</v>
      </c>
      <c r="H53" s="4" t="str">
        <f>Rutas!$A$2&amp;"Macros\Ejemplos Macros\"</f>
        <v>G:\Shared drives\script_MLA_contabilidad_0004\Reporting\Provision de Operadores - RPA\Macros\Ejemplos Macros\</v>
      </c>
      <c r="I53" s="52" t="s">
        <v>1648</v>
      </c>
      <c r="J53" s="2" t="s">
        <v>286</v>
      </c>
      <c r="K53" s="32" t="s">
        <v>246</v>
      </c>
      <c r="P5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Talca|ext_lacernic@mercadolibre.com|G:\Shared drives\script_MLA_contabilidad_0004\Reporting\Provision de Operadores - RPA\Bases\Base SVC Chile [mm.aa].xlsx|Macro AR SA Chile SVC_XD 070C_SC_T1</v>
      </c>
    </row>
    <row r="54" spans="1:26" ht="15.75" customHeight="1" x14ac:dyDescent="0.25">
      <c r="A54" s="1" t="s">
        <v>16</v>
      </c>
      <c r="B54" s="1" t="s">
        <v>17</v>
      </c>
      <c r="C54" s="1" t="s">
        <v>137</v>
      </c>
      <c r="D54" s="3" t="s">
        <v>12</v>
      </c>
      <c r="E54" s="1" t="str">
        <f>Rutas!$A$2&amp;"Bases\"&amp;F54</f>
        <v>G:\Shared drives\script_MLA_contabilidad_0004\Reporting\Provision de Operadores - RPA\Bases\Base SVC Chile [mm.aa].xlsx</v>
      </c>
      <c r="F54" s="1" t="s">
        <v>25</v>
      </c>
      <c r="G54" s="1" t="s">
        <v>138</v>
      </c>
      <c r="H54" s="4" t="str">
        <f>Rutas!$A$2&amp;"Macros\Ejemplos Macros\"</f>
        <v>G:\Shared drives\script_MLA_contabilidad_0004\Reporting\Provision de Operadores - RPA\Macros\Ejemplos Macros\</v>
      </c>
      <c r="I54" s="1"/>
      <c r="J54" s="1" t="s">
        <v>286</v>
      </c>
      <c r="K54" s="1" t="s">
        <v>246</v>
      </c>
      <c r="P5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TalcGoLive|ext_lacernic@mercadolibre.com|G:\Shared drives\script_MLA_contabilidad_0004\Reporting\Provision de Operadores - RPA\Bases\Base SVC Chile [mm.aa].xlsx|0C_SC_T1</v>
      </c>
    </row>
    <row r="55" spans="1:26" ht="15.75" customHeight="1" x14ac:dyDescent="0.25">
      <c r="A55" s="1" t="s">
        <v>16</v>
      </c>
      <c r="B55" s="1" t="s">
        <v>17</v>
      </c>
      <c r="C55" s="1" t="s">
        <v>139</v>
      </c>
      <c r="D55" s="3" t="s">
        <v>12</v>
      </c>
      <c r="E55" s="1" t="str">
        <f>Rutas!$A$2&amp;"Bases\"&amp;F55</f>
        <v>G:\Shared drives\script_MLA_contabilidad_0004\Reporting\Provision de Operadores - RPA\Bases\Base SVC Chile [mm.aa].xlsx</v>
      </c>
      <c r="F55" s="1" t="s">
        <v>25</v>
      </c>
      <c r="G55" s="1" t="s">
        <v>140</v>
      </c>
      <c r="H55" s="4" t="str">
        <f>Rutas!$A$2&amp;"Macros\Ejemplos Macros\"</f>
        <v>G:\Shared drives\script_MLA_contabilidad_0004\Reporting\Provision de Operadores - RPA\Macros\Ejemplos Macros\</v>
      </c>
      <c r="I55" s="52" t="s">
        <v>1648</v>
      </c>
      <c r="J55" s="2" t="s">
        <v>287</v>
      </c>
      <c r="K55" s="32" t="s">
        <v>246</v>
      </c>
      <c r="P5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Puerto Montt|ext_lacernic@mercadolibre.com|G:\Shared drives\script_MLA_contabilidad_0004\Reporting\Provision de Operadores - RPA\Bases\Base SVC Chile [mm.aa].xlsx|Macro AR SA Chile SVC_XD 070C_SC_M1</v>
      </c>
    </row>
    <row r="56" spans="1:26" ht="15.75" customHeight="1" x14ac:dyDescent="0.25">
      <c r="A56" s="1" t="s">
        <v>16</v>
      </c>
      <c r="B56" s="1" t="s">
        <v>17</v>
      </c>
      <c r="C56" s="1" t="s">
        <v>141</v>
      </c>
      <c r="D56" s="3" t="s">
        <v>12</v>
      </c>
      <c r="E56" s="1" t="str">
        <f>Rutas!$A$2&amp;"Bases\"&amp;F56</f>
        <v>G:\Shared drives\script_MLA_contabilidad_0004\Reporting\Provision de Operadores - RPA\Bases\Base SVC Chile [mm.aa].xlsx</v>
      </c>
      <c r="F56" s="1" t="s">
        <v>25</v>
      </c>
      <c r="G56" s="1" t="s">
        <v>142</v>
      </c>
      <c r="H56" s="4" t="str">
        <f>Rutas!$A$2&amp;"Macros\Ejemplos Macros\"</f>
        <v>G:\Shared drives\script_MLA_contabilidad_0004\Reporting\Provision de Operadores - RPA\Macros\Ejemplos Macros\</v>
      </c>
      <c r="I56" s="1"/>
      <c r="J56" s="1" t="s">
        <v>287</v>
      </c>
      <c r="K56" s="2" t="s">
        <v>246</v>
      </c>
      <c r="P5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PuertGoLive|ext_lacernic@mercadolibre.com|G:\Shared drives\script_MLA_contabilidad_0004\Reporting\Provision de Operadores - RPA\Bases\Base SVC Chile [mm.aa].xlsx|0C_SC_M1</v>
      </c>
    </row>
    <row r="57" spans="1:26" ht="15.75" customHeight="1" x14ac:dyDescent="0.25">
      <c r="A57" s="2" t="s">
        <v>58</v>
      </c>
      <c r="B57" s="2" t="s">
        <v>59</v>
      </c>
      <c r="C57" s="1" t="s">
        <v>143</v>
      </c>
      <c r="D57" s="3" t="s">
        <v>12</v>
      </c>
      <c r="E57" s="1" t="str">
        <f>Rutas!$A$2&amp;"Bases\"&amp;F57</f>
        <v>G:\Shared drives\script_MLA_contabilidad_0004\Reporting\Provision de Operadores - RPA\Bases\Base XD Brasil [mm.aa].xlsx</v>
      </c>
      <c r="F57" s="1" t="s">
        <v>62</v>
      </c>
      <c r="G57" s="1" t="s">
        <v>144</v>
      </c>
      <c r="H57" s="4" t="str">
        <f>Rutas!$A$2&amp;"Macros\Ejemplos Macros\"</f>
        <v>G:\Shared drives\script_MLA_contabilidad_0004\Reporting\Provision de Operadores - RPA\Macros\Ejemplos Macros\</v>
      </c>
      <c r="I57" s="1" t="s">
        <v>262</v>
      </c>
      <c r="J57" s="2"/>
      <c r="K57" s="1" t="s">
        <v>246</v>
      </c>
      <c r="P5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"UNIDOCKS|Brasil|XD Franca|ext_lacernic@mercadolibre.com|G:\Shared drives\script_MLA_contabilidad_0004\Reporting\Provision de Operadores - RPA\Bases\Base XD Brasil [mm.aa].xlsx|Macro AR SA XD Brasil</v>
      </c>
    </row>
    <row r="58" spans="1:26" ht="15.75" customHeight="1" x14ac:dyDescent="0.25">
      <c r="A58" s="1" t="s">
        <v>271</v>
      </c>
      <c r="B58" s="1" t="s">
        <v>97</v>
      </c>
      <c r="C58" s="1" t="s">
        <v>145</v>
      </c>
      <c r="D58" s="3" t="s">
        <v>99</v>
      </c>
      <c r="E58" s="1" t="str">
        <f>Rutas!$A$2&amp;"Bases\"&amp;F58</f>
        <v>G:\Shared drives\script_MLA_contabilidad_0004\Reporting\Provision de Operadores - RPA\Bases\Base SVC Argentina [mm.aa].xlsx</v>
      </c>
      <c r="F58" s="1" t="s">
        <v>100</v>
      </c>
      <c r="G58" s="1" t="s">
        <v>146</v>
      </c>
      <c r="H58" s="4" t="str">
        <f>Rutas!$A$2&amp;"Macros\Ejemplos Macros\"</f>
        <v>G:\Shared drives\script_MLA_contabilidad_0004\Reporting\Provision de Operadores - RPA\Macros\Ejemplos Macros\</v>
      </c>
      <c r="I58" s="1" t="s">
        <v>273</v>
      </c>
      <c r="J58" s="1" t="s">
        <v>288</v>
      </c>
      <c r="K58" s="1" t="s">
        <v>246</v>
      </c>
      <c r="P58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"Fasttrack|Argentina|SVC La Plata|ext_fepoblet@mercadolibre.com|G:\Shared drives\script_MLA_contabilidad_0004\Reporting\Provision de Operadores - RPA\Bases\Base SVC Argentina [mm.aa].xlsx|Macro AR SA Argentina SVC0C_SLA1</v>
      </c>
    </row>
    <row r="59" spans="1:26" ht="15.75" customHeight="1" x14ac:dyDescent="0.25">
      <c r="A59" s="1" t="s">
        <v>282</v>
      </c>
      <c r="B59" s="1" t="s">
        <v>97</v>
      </c>
      <c r="C59" s="1" t="s">
        <v>149</v>
      </c>
      <c r="D59" s="3" t="s">
        <v>61</v>
      </c>
      <c r="E59" s="1" t="str">
        <f>Rutas!$A$2&amp;"Bases\"&amp;F59</f>
        <v>G:\Shared drives\script_MLA_contabilidad_0004\Reporting\Provision de Operadores - RPA\Bases\Base XD Argentina [mm.aa].xlsx</v>
      </c>
      <c r="F59" s="1" t="s">
        <v>148</v>
      </c>
      <c r="G59" s="1" t="s">
        <v>150</v>
      </c>
      <c r="H59" s="4" t="str">
        <f>Rutas!$A$2&amp;"Macros\Ejemplos Macros\"</f>
        <v>G:\Shared drives\script_MLA_contabilidad_0004\Reporting\Provision de Operadores - RPA\Macros\Ejemplos Macros\</v>
      </c>
      <c r="I59" s="1" t="s">
        <v>283</v>
      </c>
      <c r="J59" s="1" t="s">
        <v>289</v>
      </c>
      <c r="K59" s="1" t="s">
        <v>246</v>
      </c>
      <c r="L59" s="4"/>
      <c r="M59" s="4"/>
      <c r="N59" s="4"/>
      <c r="O59" s="4"/>
      <c r="P5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"Loginter|Argentina|XD Cordoba|sofia.gatti@mercadolibre.com|G:\Shared drives\script_MLA_contabilidad_0004\Reporting\Provision de Operadores - RPA\Bases\Base XD Argentina [mm.aa].xlsx|Macro AR SA Argentina SVCXD0C_SCO1</v>
      </c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25">
      <c r="A60" s="1" t="s">
        <v>282</v>
      </c>
      <c r="B60" s="1" t="s">
        <v>97</v>
      </c>
      <c r="C60" s="1" t="s">
        <v>151</v>
      </c>
      <c r="D60" s="3" t="s">
        <v>61</v>
      </c>
      <c r="E60" s="1" t="str">
        <f>Rutas!$A$2&amp;"Bases\"&amp;F60</f>
        <v>G:\Shared drives\script_MLA_contabilidad_0004\Reporting\Provision de Operadores - RPA\Bases\Base SVC Argentina [mm.aa].xlsx</v>
      </c>
      <c r="F60" s="1" t="s">
        <v>100</v>
      </c>
      <c r="G60" s="1" t="s">
        <v>150</v>
      </c>
      <c r="H60" s="4" t="str">
        <f>Rutas!$A$2&amp;"Macros\Ejemplos Macros\"</f>
        <v>G:\Shared drives\script_MLA_contabilidad_0004\Reporting\Provision de Operadores - RPA\Macros\Ejemplos Macros\</v>
      </c>
      <c r="I60" s="1" t="s">
        <v>283</v>
      </c>
      <c r="J60" s="1" t="s">
        <v>289</v>
      </c>
      <c r="K60" s="1" t="s">
        <v>246</v>
      </c>
      <c r="L60" s="4"/>
      <c r="M60" s="4"/>
      <c r="N60" s="4"/>
      <c r="O60" s="4"/>
      <c r="P60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"Loginter|Argentina|SVC Cordoba|sofia.gatti@mercadolibre.com|G:\Shared drives\script_MLA_contabilidad_0004\Reporting\Provision de Operadores - RPA\Bases\Base SVC Argentina [mm.aa].xlsx|Macro AR SA Argentina SVCXD0C_SCO1</v>
      </c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1" t="s">
        <v>38</v>
      </c>
      <c r="B61" s="1" t="s">
        <v>39</v>
      </c>
      <c r="C61" s="1" t="s">
        <v>152</v>
      </c>
      <c r="D61" s="3" t="s">
        <v>12</v>
      </c>
      <c r="E61" s="1" t="str">
        <f>Rutas!$A$2&amp;"Bases\"&amp;F61</f>
        <v>G:\Shared drives\script_MLA_contabilidad_0004\Reporting\Provision de Operadores - RPA\Bases\Base SVC Colombia [mm.aa].xlsx</v>
      </c>
      <c r="F61" s="1" t="s">
        <v>44</v>
      </c>
      <c r="G61" s="1" t="s">
        <v>153</v>
      </c>
      <c r="H61" s="4" t="str">
        <f>Rutas!$A$2&amp;"Macros\Ejemplos Macros\"</f>
        <v>G:\Shared drives\script_MLA_contabilidad_0004\Reporting\Provision de Operadores - RPA\Macros\Ejemplos Macros\</v>
      </c>
      <c r="I61" s="4" t="s">
        <v>1631</v>
      </c>
      <c r="J61" s="21" t="s">
        <v>290</v>
      </c>
      <c r="K61" s="1" t="s">
        <v>246</v>
      </c>
      <c r="L61" s="4"/>
      <c r="M61" s="4"/>
      <c r="N61" s="4"/>
      <c r="O61" s="4"/>
      <c r="P61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Ibague|ext_lacernic@mercadolibre.com|C:\Users\ricardo.e.torres\Documents\ProvisionOP\Bases\Base SVC Colombia 07.22.xlsx|Resumen Ibague|C:\Users\ricardo.e.torres\Documents\ProvisionOP\Macros\|Macro AR SA Colombia SVCXD 07|0c_STO1</v>
      </c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1" t="s">
        <v>291</v>
      </c>
      <c r="B62" s="1" t="s">
        <v>39</v>
      </c>
      <c r="C62" s="1" t="s">
        <v>158</v>
      </c>
      <c r="D62" s="3" t="s">
        <v>12</v>
      </c>
      <c r="E62" s="1" t="str">
        <f>Rutas!$A$2&amp;"Bases\"&amp;F62</f>
        <v>G:\Shared drives\script_MLA_contabilidad_0004\Reporting\Provision de Operadores - RPA\Bases\Base SVC Colombia [mm.aa].xlsx</v>
      </c>
      <c r="F62" s="1" t="s">
        <v>44</v>
      </c>
      <c r="G62" s="1" t="s">
        <v>159</v>
      </c>
      <c r="H62" s="4" t="str">
        <f>Rutas!$A$2&amp;"Macros\Ejemplos Macros\"</f>
        <v>G:\Shared drives\script_MLA_contabilidad_0004\Reporting\Provision de Operadores - RPA\Macros\Ejemplos Macros\</v>
      </c>
      <c r="I62" s="4" t="s">
        <v>1631</v>
      </c>
      <c r="J62" s="21" t="s">
        <v>292</v>
      </c>
      <c r="K62" s="1" t="s">
        <v>246</v>
      </c>
      <c r="L62" s="4"/>
      <c r="M62" s="4"/>
      <c r="N62" s="4"/>
      <c r="O62" s="4"/>
      <c r="P62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"Link|Colombia|SVC Barranquilla|ext_lacernic@mercadolibre.com|C:\Users\ricardo.e.torres\Documents\ProvisionOP\Bases\Base SVC Colombia 07.22.xlsx|Resumen Barranquilla|C:\Users\ricardo.e.torres\Documents\ProvisionOP\Macros\|Macro AR SA Colombia SVCXD 07|0c_SAT1</v>
      </c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1" t="s">
        <v>291</v>
      </c>
      <c r="B63" s="1" t="s">
        <v>39</v>
      </c>
      <c r="C63" s="1" t="s">
        <v>160</v>
      </c>
      <c r="D63" s="3" t="s">
        <v>12</v>
      </c>
      <c r="E63" s="1" t="str">
        <f>Rutas!$A$2&amp;"Bases\"&amp;F63</f>
        <v>G:\Shared drives\script_MLA_contabilidad_0004\Reporting\Provision de Operadores - RPA\Bases\Base SVC Colombia [mm.aa].xlsx</v>
      </c>
      <c r="F63" s="1" t="s">
        <v>44</v>
      </c>
      <c r="G63" s="1" t="s">
        <v>161</v>
      </c>
      <c r="H63" s="4" t="str">
        <f>Rutas!$A$2&amp;"Macros\Ejemplos Macros\"</f>
        <v>G:\Shared drives\script_MLA_contabilidad_0004\Reporting\Provision de Operadores - RPA\Macros\Ejemplos Macros\</v>
      </c>
      <c r="I63" s="4" t="s">
        <v>1631</v>
      </c>
      <c r="J63" s="21" t="s">
        <v>293</v>
      </c>
      <c r="K63" s="1" t="s">
        <v>246</v>
      </c>
      <c r="L63" s="4"/>
      <c r="M63" s="4"/>
      <c r="N63" s="4"/>
      <c r="O63" s="4"/>
      <c r="P63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"Link|Colombia|SVC Cartagena|ext_lacernic@mercadolibre.com|C:\Users\ricardo.e.torres\Documents\ProvisionOP\Bases\Base SVC Colombia 07.22.xlsx|Resumen Cartagena|C:\Users\ricardo.e.torres\Documents\ProvisionOP\Macros\|Macro AR SA Colombia SVCXD 07|0c_SBL1</v>
      </c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1" t="s">
        <v>38</v>
      </c>
      <c r="B64" s="1" t="s">
        <v>39</v>
      </c>
      <c r="C64" s="1" t="s">
        <v>162</v>
      </c>
      <c r="D64" s="3" t="s">
        <v>12</v>
      </c>
      <c r="E64" s="1" t="str">
        <f>Rutas!$A$2&amp;"Bases\"&amp;F64</f>
        <v>G:\Shared drives\script_MLA_contabilidad_0004\Reporting\Provision de Operadores - RPA\Bases\Base SVC Colombia [mm.aa].xlsx</v>
      </c>
      <c r="F64" s="1" t="s">
        <v>44</v>
      </c>
      <c r="G64" s="1" t="s">
        <v>163</v>
      </c>
      <c r="H64" s="4" t="str">
        <f>Rutas!$A$2&amp;"Macros\Ejemplos Macros\"</f>
        <v>G:\Shared drives\script_MLA_contabilidad_0004\Reporting\Provision de Operadores - RPA\Macros\Ejemplos Macros\</v>
      </c>
      <c r="I64" s="4" t="s">
        <v>1631</v>
      </c>
      <c r="J64" s="21" t="s">
        <v>294</v>
      </c>
      <c r="K64" s="1" t="s">
        <v>246</v>
      </c>
      <c r="L64" s="4"/>
      <c r="M64" s="4"/>
      <c r="N64" s="4"/>
      <c r="O64" s="4"/>
      <c r="P64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Burcaramanga|ext_lacernic@mercadolibre.com|C:\Users\ricardo.e.torres\Documents\ProvisionOP\Bases\Base SVC Colombia 07.22.xlsx|Resumen Burcaramanga|C:\Users\ricardo.e.torres\Documents\ProvisionOP\Macros\|Macro AR SA Colombia SVCXD 07|0c_SSA1</v>
      </c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1" t="s">
        <v>16</v>
      </c>
      <c r="B65" s="1" t="s">
        <v>17</v>
      </c>
      <c r="C65" s="1" t="s">
        <v>154</v>
      </c>
      <c r="D65" s="3" t="s">
        <v>12</v>
      </c>
      <c r="E65" s="1" t="str">
        <f>Rutas!$A$2&amp;"Bases\"&amp;F65</f>
        <v>G:\Shared drives\script_MLA_contabilidad_0004\Reporting\Provision de Operadores - RPA\Bases\Base SVC Chile [mm.aa].xlsx</v>
      </c>
      <c r="F65" s="1" t="s">
        <v>25</v>
      </c>
      <c r="G65" s="1" t="s">
        <v>155</v>
      </c>
      <c r="H65" s="4" t="str">
        <f>Rutas!$A$2&amp;"Macros\Ejemplos Macros\"</f>
        <v>G:\Shared drives\script_MLA_contabilidad_0004\Reporting\Provision de Operadores - RPA\Macros\Ejemplos Macros\</v>
      </c>
      <c r="I65" s="52" t="s">
        <v>1648</v>
      </c>
      <c r="J65" s="1" t="s">
        <v>295</v>
      </c>
      <c r="K65" s="32" t="s">
        <v>246</v>
      </c>
      <c r="L65" s="4"/>
      <c r="M65" s="4"/>
      <c r="N65" s="4"/>
      <c r="O65" s="4"/>
      <c r="P6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Copiapo|ext_lacernic@mercadolibre.com|G:\Shared drives\script_MLA_contabilidad_0004\Reporting\Provision de Operadores - RPA\Bases\Base SVC Chile [mm.aa].xlsx|Macro AR SA Chile SVC_XD 070C_SC_G1</v>
      </c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1" t="s">
        <v>16</v>
      </c>
      <c r="B66" s="1" t="s">
        <v>17</v>
      </c>
      <c r="C66" s="1" t="s">
        <v>156</v>
      </c>
      <c r="D66" s="3" t="s">
        <v>12</v>
      </c>
      <c r="E66" s="1" t="str">
        <f>Rutas!$A$2&amp;"Bases\"&amp;F66</f>
        <v>G:\Shared drives\script_MLA_contabilidad_0004\Reporting\Provision de Operadores - RPA\Bases\Base SVC Chile [mm.aa].xlsx</v>
      </c>
      <c r="F66" s="1" t="s">
        <v>25</v>
      </c>
      <c r="G66" s="1" t="s">
        <v>142</v>
      </c>
      <c r="H66" s="4" t="str">
        <f>Rutas!$A$2&amp;"Macros\Ejemplos Macros\"</f>
        <v>G:\Shared drives\script_MLA_contabilidad_0004\Reporting\Provision de Operadores - RPA\Macros\Ejemplos Macros\</v>
      </c>
      <c r="I66" s="1"/>
      <c r="J66" s="1" t="s">
        <v>295</v>
      </c>
      <c r="K66" s="1" t="s">
        <v>246</v>
      </c>
      <c r="L66" s="4"/>
      <c r="M66" s="4"/>
      <c r="N66" s="4"/>
      <c r="O66" s="4"/>
      <c r="P6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CopiGoLive|ext_lacernic@mercadolibre.com|G:\Shared drives\script_MLA_contabilidad_0004\Reporting\Provision de Operadores - RPA\Bases\Base SVC Chile [mm.aa].xlsx|0C_SC_G1</v>
      </c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1" t="s">
        <v>16</v>
      </c>
      <c r="B67" s="1" t="s">
        <v>17</v>
      </c>
      <c r="C67" s="1" t="s">
        <v>164</v>
      </c>
      <c r="D67" s="3" t="s">
        <v>12</v>
      </c>
      <c r="E67" s="1" t="str">
        <f>Rutas!$A$2&amp;"Bases\"&amp;F67</f>
        <v>G:\Shared drives\script_MLA_contabilidad_0004\Reporting\Provision de Operadores - RPA\Bases\Base SVC Chile [mm.aa].xlsx</v>
      </c>
      <c r="F67" s="1" t="s">
        <v>25</v>
      </c>
      <c r="G67" s="1" t="s">
        <v>165</v>
      </c>
      <c r="H67" s="4" t="str">
        <f>Rutas!$A$2&amp;"Macros\Ejemplos Macros\"</f>
        <v>G:\Shared drives\script_MLA_contabilidad_0004\Reporting\Provision de Operadores - RPA\Macros\Ejemplos Macros\</v>
      </c>
      <c r="I67" s="52" t="s">
        <v>1648</v>
      </c>
      <c r="J67" s="1" t="s">
        <v>296</v>
      </c>
      <c r="K67" s="32" t="s">
        <v>246</v>
      </c>
      <c r="L67" s="4"/>
      <c r="M67" s="4"/>
      <c r="N67" s="4"/>
      <c r="O67" s="4"/>
      <c r="P6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Temuco|ext_lacernic@mercadolibre.com|G:\Shared drives\script_MLA_contabilidad_0004\Reporting\Provision de Operadores - RPA\Bases\Base SVC Chile [mm.aa].xlsx|Macro AR SA Chile SVC_XD 070C_SC_U1</v>
      </c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1" t="s">
        <v>16</v>
      </c>
      <c r="B68" s="1" t="s">
        <v>17</v>
      </c>
      <c r="C68" s="1" t="s">
        <v>297</v>
      </c>
      <c r="D68" s="3" t="s">
        <v>12</v>
      </c>
      <c r="E68" s="1" t="str">
        <f>Rutas!$A$2&amp;"Bases\"&amp;F68</f>
        <v>G:\Shared drives\script_MLA_contabilidad_0004\Reporting\Provision de Operadores - RPA\Bases\Base SVC Chile [mm.aa].xlsx</v>
      </c>
      <c r="F68" s="1" t="s">
        <v>25</v>
      </c>
      <c r="G68" s="1" t="s">
        <v>298</v>
      </c>
      <c r="H68" s="4" t="str">
        <f>Rutas!$A$2&amp;"Macros\Ejemplos Macros\"</f>
        <v>G:\Shared drives\script_MLA_contabilidad_0004\Reporting\Provision de Operadores - RPA\Macros\Ejemplos Macros\</v>
      </c>
      <c r="I68" s="1"/>
      <c r="J68" s="1" t="s">
        <v>296</v>
      </c>
      <c r="K68" s="1" t="s">
        <v>246</v>
      </c>
      <c r="L68" s="4"/>
      <c r="M68" s="4"/>
      <c r="N68" s="4"/>
      <c r="O68" s="4"/>
      <c r="P68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TemGolive|ext_lacernic@mercadolibre.com|G:\Shared drives\script_MLA_contabilidad_0004\Reporting\Provision de Operadores - RPA\Bases\Base SVC Chile [mm.aa].xlsx|0C_SC_U1</v>
      </c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1" t="s">
        <v>16</v>
      </c>
      <c r="B69" s="1" t="s">
        <v>17</v>
      </c>
      <c r="C69" s="1" t="s">
        <v>168</v>
      </c>
      <c r="D69" s="3" t="s">
        <v>12</v>
      </c>
      <c r="E69" s="1" t="str">
        <f>Rutas!$A$2&amp;"Bases\"&amp;F69</f>
        <v>G:\Shared drives\script_MLA_contabilidad_0004\Reporting\Provision de Operadores - RPA\Bases\Base SVC Chile [mm.aa].xlsx</v>
      </c>
      <c r="F69" s="1" t="s">
        <v>25</v>
      </c>
      <c r="G69" s="1" t="s">
        <v>169</v>
      </c>
      <c r="H69" s="4" t="str">
        <f>Rutas!$A$2&amp;"Macros\Ejemplos Macros\"</f>
        <v>G:\Shared drives\script_MLA_contabilidad_0004\Reporting\Provision de Operadores - RPA\Macros\Ejemplos Macros\</v>
      </c>
      <c r="I69" s="52" t="s">
        <v>1648</v>
      </c>
      <c r="J69" s="1" t="s">
        <v>299</v>
      </c>
      <c r="K69" s="32" t="s">
        <v>246</v>
      </c>
      <c r="L69" s="4"/>
      <c r="M69" s="4"/>
      <c r="N69" s="4"/>
      <c r="O69" s="4"/>
      <c r="P6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Los Angeles|ext_lacernic@mercadolibre.com|G:\Shared drives\script_MLA_contabilidad_0004\Reporting\Provision de Operadores - RPA\Bases\Base SVC Chile [mm.aa].xlsx|Macro AR SA Chile SVC_XD 070C_SC_L1</v>
      </c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1" t="s">
        <v>16</v>
      </c>
      <c r="B70" s="1" t="s">
        <v>17</v>
      </c>
      <c r="C70" s="1" t="s">
        <v>170</v>
      </c>
      <c r="D70" s="3" t="s">
        <v>12</v>
      </c>
      <c r="E70" s="1" t="str">
        <f>Rutas!$A$2&amp;"Bases\"&amp;F70</f>
        <v>G:\Shared drives\script_MLA_contabilidad_0004\Reporting\Provision de Operadores - RPA\Bases\Base SVC Chile [mm.aa].xlsx</v>
      </c>
      <c r="F70" s="1" t="s">
        <v>25</v>
      </c>
      <c r="G70" s="1" t="s">
        <v>171</v>
      </c>
      <c r="H70" s="4" t="str">
        <f>Rutas!$A$2&amp;"Macros\Ejemplos Macros\"</f>
        <v>G:\Shared drives\script_MLA_contabilidad_0004\Reporting\Provision de Operadores - RPA\Macros\Ejemplos Macros\</v>
      </c>
      <c r="I70" s="52" t="s">
        <v>1648</v>
      </c>
      <c r="J70" s="1" t="s">
        <v>300</v>
      </c>
      <c r="K70" s="32" t="s">
        <v>246</v>
      </c>
      <c r="L70" s="4"/>
      <c r="M70" s="4"/>
      <c r="N70" s="4"/>
      <c r="O70" s="4"/>
      <c r="P70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Viña del Mar|ext_lacernic@mercadolibre.com|G:\Shared drives\script_MLA_contabilidad_0004\Reporting\Provision de Operadores - RPA\Bases\Base SVC Chile [mm.aa].xlsx|Macro AR SA Chile SVC_XD 070C_SC_V1</v>
      </c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1" t="s">
        <v>16</v>
      </c>
      <c r="B71" s="1" t="s">
        <v>17</v>
      </c>
      <c r="C71" s="1" t="s">
        <v>172</v>
      </c>
      <c r="D71" s="3" t="s">
        <v>12</v>
      </c>
      <c r="E71" s="1" t="str">
        <f>Rutas!$A$2&amp;"Bases\"&amp;F71</f>
        <v>G:\Shared drives\script_MLA_contabilidad_0004\Reporting\Provision de Operadores - RPA\Bases\Base SVC Chile [mm.aa].xlsx</v>
      </c>
      <c r="F71" s="1" t="s">
        <v>25</v>
      </c>
      <c r="G71" s="1" t="s">
        <v>173</v>
      </c>
      <c r="H71" s="4" t="str">
        <f>Rutas!$A$2&amp;"Macros\Ejemplos Macros\"</f>
        <v>G:\Shared drives\script_MLA_contabilidad_0004\Reporting\Provision de Operadores - RPA\Macros\Ejemplos Macros\</v>
      </c>
      <c r="I71" s="1"/>
      <c r="J71" s="1" t="s">
        <v>300</v>
      </c>
      <c r="K71" s="1" t="s">
        <v>246</v>
      </c>
      <c r="L71" s="4"/>
      <c r="M71" s="4"/>
      <c r="N71" s="4"/>
      <c r="O71" s="4"/>
      <c r="P71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ViñaGoLive|ext_lacernic@mercadolibre.com|G:\Shared drives\script_MLA_contabilidad_0004\Reporting\Provision de Operadores - RPA\Bases\Base SVC Chile [mm.aa].xlsx|0C_SC_V1</v>
      </c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1" t="s">
        <v>16</v>
      </c>
      <c r="B72" s="1" t="s">
        <v>17</v>
      </c>
      <c r="C72" s="1" t="s">
        <v>174</v>
      </c>
      <c r="D72" s="3" t="s">
        <v>12</v>
      </c>
      <c r="E72" s="1" t="str">
        <f>Rutas!$A$2&amp;"Bases\"&amp;F72</f>
        <v>G:\Shared drives\script_MLA_contabilidad_0004\Reporting\Provision de Operadores - RPA\Bases\Base XD Chile [mm.aa].xlsx</v>
      </c>
      <c r="F72" s="1" t="s">
        <v>23</v>
      </c>
      <c r="G72" s="1" t="s">
        <v>174</v>
      </c>
      <c r="H72" s="4" t="str">
        <f>Rutas!$A$2&amp;"Macros\Ejemplos Macros\"</f>
        <v>G:\Shared drives\script_MLA_contabilidad_0004\Reporting\Provision de Operadores - RPA\Macros\Ejemplos Macros\</v>
      </c>
      <c r="I72" s="52" t="s">
        <v>1648</v>
      </c>
      <c r="J72" s="1" t="s">
        <v>252</v>
      </c>
      <c r="K72" s="32" t="s">
        <v>246</v>
      </c>
      <c r="L72" s="4"/>
      <c r="M72" s="4"/>
      <c r="N72" s="4"/>
      <c r="O72" s="4"/>
      <c r="P7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"CEVA|Chile|XD Concepcion|ext_lacernic@mercadolibre.com|G:\Shared drives\script_MLA_contabilidad_0004\Reporting\Provision de Operadores - RPA\Bases\Base XD Chile [mm.aa].xlsx|Macro AR SA Chile SVC_XD 070C_SC_B1</v>
      </c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1" t="s">
        <v>16</v>
      </c>
      <c r="B73" s="1" t="s">
        <v>17</v>
      </c>
      <c r="C73" s="1" t="s">
        <v>175</v>
      </c>
      <c r="D73" s="3" t="s">
        <v>12</v>
      </c>
      <c r="E73" s="1" t="str">
        <f>Rutas!$A$2&amp;"Bases\"&amp;F73</f>
        <v>G:\Shared drives\script_MLA_contabilidad_0004\Reporting\Provision de Operadores - RPA\Bases\Base XD Chile [mm.aa].xlsx</v>
      </c>
      <c r="F73" s="1" t="s">
        <v>23</v>
      </c>
      <c r="G73" s="1" t="s">
        <v>175</v>
      </c>
      <c r="H73" s="4" t="str">
        <f>Rutas!$A$2&amp;"Macros\Ejemplos Macros\"</f>
        <v>G:\Shared drives\script_MLA_contabilidad_0004\Reporting\Provision de Operadores - RPA\Macros\Ejemplos Macros\</v>
      </c>
      <c r="I73" s="52" t="s">
        <v>1648</v>
      </c>
      <c r="J73" s="1" t="s">
        <v>251</v>
      </c>
      <c r="K73" s="32" t="s">
        <v>246</v>
      </c>
      <c r="L73" s="4"/>
      <c r="M73" s="4"/>
      <c r="N73" s="4"/>
      <c r="O73" s="4"/>
      <c r="P7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"CEVA|Chile|XD Rancagua|ext_lacernic@mercadolibre.com|G:\Shared drives\script_MLA_contabilidad_0004\Reporting\Provision de Operadores - RPA\Bases\Base XD Chile [mm.aa].xlsx|Macro AR SA Chile SVC_XD 070C_SC_R1</v>
      </c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1" t="s">
        <v>16</v>
      </c>
      <c r="B74" s="1" t="s">
        <v>17</v>
      </c>
      <c r="C74" s="1" t="s">
        <v>176</v>
      </c>
      <c r="D74" s="3" t="s">
        <v>12</v>
      </c>
      <c r="E74" s="1" t="str">
        <f>Rutas!$A$2&amp;"Bases\"&amp;F74</f>
        <v>G:\Shared drives\script_MLA_contabilidad_0004\Reporting\Provision de Operadores - RPA\Bases\Base XD Chile [mm.aa].xlsx</v>
      </c>
      <c r="F74" s="1" t="s">
        <v>23</v>
      </c>
      <c r="G74" s="1" t="s">
        <v>176</v>
      </c>
      <c r="H74" s="4" t="str">
        <f>Rutas!$A$2&amp;"Macros\Ejemplos Macros\"</f>
        <v>G:\Shared drives\script_MLA_contabilidad_0004\Reporting\Provision de Operadores - RPA\Macros\Ejemplos Macros\</v>
      </c>
      <c r="I74" s="52" t="s">
        <v>1648</v>
      </c>
      <c r="J74" s="1" t="s">
        <v>286</v>
      </c>
      <c r="K74" s="32" t="s">
        <v>246</v>
      </c>
      <c r="L74" s="4"/>
      <c r="M74" s="4"/>
      <c r="N74" s="4"/>
      <c r="O74" s="4"/>
      <c r="P74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"CEVA|Chile|XD Talca|ext_lacernic@mercadolibre.com|G:\Shared drives\script_MLA_contabilidad_0004\Reporting\Provision de Operadores - RPA\Bases\Base XD Chile [mm.aa].xlsx|Macro AR SA Chile SVC_XD 070C_SC_T1</v>
      </c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1" t="s">
        <v>16</v>
      </c>
      <c r="B75" s="1" t="s">
        <v>17</v>
      </c>
      <c r="C75" s="1" t="s">
        <v>203</v>
      </c>
      <c r="D75" s="3" t="s">
        <v>12</v>
      </c>
      <c r="E75" s="1" t="str">
        <f>Rutas!$A$2&amp;"Bases\"&amp;F75</f>
        <v>G:\Shared drives\script_MLA_contabilidad_0004\Reporting\Provision de Operadores - RPA\Bases\Base XD Chile [mm.aa].xlsx</v>
      </c>
      <c r="F75" s="1" t="s">
        <v>23</v>
      </c>
      <c r="G75" s="1" t="s">
        <v>203</v>
      </c>
      <c r="H75" s="4" t="str">
        <f>Rutas!$A$2&amp;"Macros\Ejemplos Macros\"</f>
        <v>G:\Shared drives\script_MLA_contabilidad_0004\Reporting\Provision de Operadores - RPA\Macros\Ejemplos Macros\</v>
      </c>
      <c r="I75" s="52" t="s">
        <v>1648</v>
      </c>
      <c r="J75" s="1" t="s">
        <v>296</v>
      </c>
      <c r="K75" s="32" t="s">
        <v>246</v>
      </c>
      <c r="L75" s="4"/>
      <c r="M75" s="4"/>
      <c r="N75" s="4"/>
      <c r="O75" s="4"/>
      <c r="P75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"CEVA|Chile|XD Temuco|ext_lacernic@mercadolibre.com|G:\Shared drives\script_MLA_contabilidad_0004\Reporting\Provision de Operadores - RPA\Bases\Base XD Chile [mm.aa].xlsx|Macro AR SA Chile SVC_XD 070C_SC_U1</v>
      </c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1" t="s">
        <v>16</v>
      </c>
      <c r="B76" s="1" t="s">
        <v>17</v>
      </c>
      <c r="C76" s="1" t="s">
        <v>204</v>
      </c>
      <c r="D76" s="3" t="s">
        <v>12</v>
      </c>
      <c r="E76" s="1" t="str">
        <f>Rutas!$A$2&amp;"Bases\"&amp;F76</f>
        <v>G:\Shared drives\script_MLA_contabilidad_0004\Reporting\Provision de Operadores - RPA\Bases\Base SVC Chile [mm.aa].xlsx</v>
      </c>
      <c r="F76" s="1" t="s">
        <v>25</v>
      </c>
      <c r="G76" s="1" t="s">
        <v>205</v>
      </c>
      <c r="H76" s="4" t="str">
        <f>Rutas!$A$2&amp;"Macros\Ejemplos Macros\"</f>
        <v>G:\Shared drives\script_MLA_contabilidad_0004\Reporting\Provision de Operadores - RPA\Macros\Ejemplos Macros\</v>
      </c>
      <c r="I76" s="52" t="s">
        <v>1648</v>
      </c>
      <c r="J76" s="1" t="s">
        <v>301</v>
      </c>
      <c r="K76" s="32" t="s">
        <v>246</v>
      </c>
      <c r="L76" s="4"/>
      <c r="M76" s="4"/>
      <c r="N76" s="4"/>
      <c r="O76" s="4"/>
      <c r="P76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Vallenar|ext_lacernic@mercadolibre.com|G:\Shared drives\script_MLA_contabilidad_0004\Reporting\Provision de Operadores - RPA\Bases\Base SVC Chile [mm.aa].xlsx|Macro AR SA Chile SVC_XD 070C_SC_W1</v>
      </c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customHeight="1" x14ac:dyDescent="0.25">
      <c r="A77" s="1" t="s">
        <v>16</v>
      </c>
      <c r="B77" s="1" t="s">
        <v>17</v>
      </c>
      <c r="C77" s="1" t="s">
        <v>206</v>
      </c>
      <c r="D77" s="3" t="s">
        <v>12</v>
      </c>
      <c r="E77" s="1" t="str">
        <f>Rutas!$A$2&amp;"Bases\"&amp;F77</f>
        <v>G:\Shared drives\script_MLA_contabilidad_0004\Reporting\Provision de Operadores - RPA\Bases\Base SVC Chile [mm.aa].xlsx</v>
      </c>
      <c r="F77" s="1" t="s">
        <v>25</v>
      </c>
      <c r="G77" s="1" t="s">
        <v>207</v>
      </c>
      <c r="H77" s="4" t="str">
        <f>Rutas!$A$2&amp;"Macros\Ejemplos Macros\"</f>
        <v>G:\Shared drives\script_MLA_contabilidad_0004\Reporting\Provision de Operadores - RPA\Macros\Ejemplos Macros\</v>
      </c>
      <c r="I77" s="52" t="s">
        <v>1648</v>
      </c>
      <c r="J77" s="1" t="s">
        <v>302</v>
      </c>
      <c r="K77" s="32" t="s">
        <v>246</v>
      </c>
      <c r="L77" s="4"/>
      <c r="M77" s="4"/>
      <c r="N77" s="4"/>
      <c r="O77" s="4"/>
      <c r="P77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Los Andes|ext_lacernic@mercadolibre.com|G:\Shared drives\script_MLA_contabilidad_0004\Reporting\Provision de Operadores - RPA\Bases\Base SVC Chile [mm.aa].xlsx|Macro AR SA Chile SVC_XD 070C_SC_Q1</v>
      </c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customHeight="1" x14ac:dyDescent="0.25">
      <c r="A78" s="1" t="s">
        <v>16</v>
      </c>
      <c r="B78" s="1" t="s">
        <v>17</v>
      </c>
      <c r="C78" s="1" t="s">
        <v>208</v>
      </c>
      <c r="D78" s="3" t="s">
        <v>12</v>
      </c>
      <c r="E78" s="1" t="str">
        <f>Rutas!$A$2&amp;"Bases\"&amp;F78</f>
        <v>G:\Shared drives\script_MLA_contabilidad_0004\Reporting\Provision de Operadores - RPA\Bases\Base SVC Chile [mm.aa].xlsx</v>
      </c>
      <c r="F78" s="1" t="s">
        <v>25</v>
      </c>
      <c r="G78" s="1" t="s">
        <v>209</v>
      </c>
      <c r="H78" s="4" t="str">
        <f>Rutas!$A$2&amp;"Macros\Ejemplos Macros\"</f>
        <v>G:\Shared drives\script_MLA_contabilidad_0004\Reporting\Provision de Operadores - RPA\Macros\Ejemplos Macros\</v>
      </c>
      <c r="I78" s="52" t="s">
        <v>1648</v>
      </c>
      <c r="J78" s="1" t="s">
        <v>303</v>
      </c>
      <c r="K78" s="32" t="s">
        <v>246</v>
      </c>
      <c r="L78" s="4"/>
      <c r="M78" s="4"/>
      <c r="N78" s="4"/>
      <c r="O78" s="4"/>
      <c r="P78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Valdivia|ext_lacernic@mercadolibre.com|G:\Shared drives\script_MLA_contabilidad_0004\Reporting\Provision de Operadores - RPA\Bases\Base SVC Chile [mm.aa].xlsx|Macro AR SA Chile SVC_XD 070C_SC_J1</v>
      </c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customHeight="1" x14ac:dyDescent="0.25">
      <c r="A79" s="1" t="s">
        <v>16</v>
      </c>
      <c r="B79" s="1" t="s">
        <v>17</v>
      </c>
      <c r="C79" s="1" t="s">
        <v>210</v>
      </c>
      <c r="D79" s="3" t="s">
        <v>12</v>
      </c>
      <c r="E79" s="1" t="str">
        <f>Rutas!$A$2&amp;"Bases\"&amp;F79</f>
        <v>G:\Shared drives\script_MLA_contabilidad_0004\Reporting\Provision de Operadores - RPA\Bases\Base SVC Chile [mm.aa].xlsx</v>
      </c>
      <c r="F79" s="1" t="s">
        <v>25</v>
      </c>
      <c r="G79" s="1" t="s">
        <v>211</v>
      </c>
      <c r="H79" s="4" t="str">
        <f>Rutas!$A$2&amp;"Macros\Ejemplos Macros\"</f>
        <v>G:\Shared drives\script_MLA_contabilidad_0004\Reporting\Provision de Operadores - RPA\Macros\Ejemplos Macros\</v>
      </c>
      <c r="I79" s="52" t="s">
        <v>1648</v>
      </c>
      <c r="J79" s="1" t="s">
        <v>304</v>
      </c>
      <c r="K79" s="32" t="s">
        <v>246</v>
      </c>
      <c r="L79" s="4"/>
      <c r="M79" s="4"/>
      <c r="N79" s="4"/>
      <c r="O79" s="4"/>
      <c r="P79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Osorno|ext_lacernic@mercadolibre.com|G:\Shared drives\script_MLA_contabilidad_0004\Reporting\Provision de Operadores - RPA\Bases\Base SVC Chile [mm.aa].xlsx|Macro AR SA Chile SVC_XD 070C_SC_I1</v>
      </c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1" t="s">
        <v>38</v>
      </c>
      <c r="B80" s="1" t="s">
        <v>39</v>
      </c>
      <c r="C80" s="1" t="s">
        <v>212</v>
      </c>
      <c r="D80" s="3" t="s">
        <v>12</v>
      </c>
      <c r="E80" s="1" t="str">
        <f>Rutas!$A$2&amp;"Bases\"&amp;F80</f>
        <v>G:\Shared drives\script_MLA_contabilidad_0004\Reporting\Provision de Operadores - RPA\Bases\Base SVC Colombia [mm.aa].xlsx</v>
      </c>
      <c r="F80" s="1" t="s">
        <v>44</v>
      </c>
      <c r="G80" s="1" t="s">
        <v>213</v>
      </c>
      <c r="H80" s="4" t="str">
        <f>Rutas!$A$2&amp;"Macros\Ejemplos Macros\"</f>
        <v>G:\Shared drives\script_MLA_contabilidad_0004\Reporting\Provision de Operadores - RPA\Macros\Ejemplos Macros\</v>
      </c>
      <c r="I80" s="4" t="s">
        <v>1631</v>
      </c>
      <c r="J80" s="21" t="s">
        <v>305</v>
      </c>
      <c r="K80" s="1" t="s">
        <v>246</v>
      </c>
      <c r="L80" s="4"/>
      <c r="M80" s="4"/>
      <c r="N80" s="4"/>
      <c r="O80" s="4"/>
      <c r="P80" t="str">
        <f>+""""&amp;Table_4[[#This Row],[Operador]]&amp;"|"&amp;Table_4[[#This Row],[País]]&amp;"|"&amp;Table_4[[#This Row],[Centro]]&amp;"|"&amp;"ext_lacernic@mercadolibre.com|C:\Users\ricardo.e.torres\Documents\ProvisionOP\Bases\Base SVC Colombia 07.22.xlsx"&amp;"|"&amp;Table_4[[#This Row],[Tab base]]&amp;"|"&amp;"C:\Users\ricardo.e.torres\Documents\ProvisionOP\Macros\|Macro AR SA Colombia SVCXD 07|"&amp;Table_4[[#This Row],[Orden]]</f>
        <v>"SUPPLA|Colombia|SVC Funza|ext_lacernic@mercadolibre.com|C:\Users\ricardo.e.torres\Documents\ProvisionOP\Bases\Base SVC Colombia 07.22.xlsx|Resumen Funza|C:\Users\ricardo.e.torres\Documents\ProvisionOP\Macros\|Macro AR SA Colombia SVCXD 07|0c_SCI1</v>
      </c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1" t="s">
        <v>38</v>
      </c>
      <c r="B81" s="1" t="s">
        <v>39</v>
      </c>
      <c r="C81" s="1" t="s">
        <v>214</v>
      </c>
      <c r="D81" s="3" t="s">
        <v>12</v>
      </c>
      <c r="E81" s="1" t="str">
        <f>Rutas!$A$2&amp;"Bases\"&amp;F81</f>
        <v>G:\Shared drives\script_MLA_contabilidad_0004\Reporting\Provision de Operadores - RPA\Bases\Base FF Colombia [mm.aa].xlsx</v>
      </c>
      <c r="F81" s="1" t="s">
        <v>41</v>
      </c>
      <c r="G81" s="1" t="s">
        <v>215</v>
      </c>
      <c r="H81" s="4" t="str">
        <f>Rutas!$A$2&amp;"Macros\Ejemplos Macros\"</f>
        <v>G:\Shared drives\script_MLA_contabilidad_0004\Reporting\Provision de Operadores - RPA\Macros\Ejemplos Macros\</v>
      </c>
      <c r="I81" s="1" t="s">
        <v>1588</v>
      </c>
      <c r="J81" s="21"/>
      <c r="K81" s="1" t="s">
        <v>246</v>
      </c>
      <c r="L81" s="4"/>
      <c r="M81" s="4"/>
      <c r="N81" s="4"/>
      <c r="O81" s="4"/>
      <c r="P81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"SUPPLA|Colombia|FBM Funza 2|ext_lacernic@mercadolibre.com|G:\Shared drives\script_MLA_contabilidad_0004\Reporting\Provision de Operadores - RPA\Bases\Base FF Colombia [mm.aa].xlsx|Macro AR SA Colombia FBM 07</v>
      </c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1" t="s">
        <v>16</v>
      </c>
      <c r="B82" s="1" t="s">
        <v>17</v>
      </c>
      <c r="C82" s="1" t="s">
        <v>216</v>
      </c>
      <c r="D82" s="3" t="s">
        <v>12</v>
      </c>
      <c r="E82" s="1" t="str">
        <f>Rutas!$A$2&amp;"Bases\"&amp;F82</f>
        <v>G:\Shared drives\script_MLA_contabilidad_0004\Reporting\Provision de Operadores - RPA\Bases\Base XD Chile [mm.aa].xlsx</v>
      </c>
      <c r="F82" s="1" t="s">
        <v>23</v>
      </c>
      <c r="G82" s="1" t="s">
        <v>171</v>
      </c>
      <c r="H82" s="4" t="str">
        <f>Rutas!$A$2&amp;"Macros\Ejemplos Macros\"</f>
        <v>G:\Shared drives\script_MLA_contabilidad_0004\Reporting\Provision de Operadores - RPA\Macros\Ejemplos Macros\</v>
      </c>
      <c r="I82" s="52" t="s">
        <v>1648</v>
      </c>
      <c r="J82" s="1" t="s">
        <v>300</v>
      </c>
      <c r="K82" s="32" t="s">
        <v>246</v>
      </c>
      <c r="L82" s="4"/>
      <c r="M82" s="4"/>
      <c r="N82" s="4"/>
      <c r="O82" s="4"/>
      <c r="P82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"CEVA|Chile|XD Viña del Mar|ext_lacernic@mercadolibre.com|G:\Shared drives\script_MLA_contabilidad_0004\Reporting\Provision de Operadores - RPA\Bases\Base XD Chile [mm.aa].xlsx|Macro AR SA Chile SVC_XD 070C_SC_V1</v>
      </c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4" t="s">
        <v>16</v>
      </c>
      <c r="B83" s="4" t="s">
        <v>17</v>
      </c>
      <c r="C83" s="4" t="s">
        <v>1568</v>
      </c>
      <c r="D83" s="3" t="s">
        <v>12</v>
      </c>
      <c r="E83" s="4" t="str">
        <f>Rutas!$A$2&amp;"Bases\"&amp;F83</f>
        <v>G:\Shared drives\script_MLA_contabilidad_0004\Reporting\Provision de Operadores - RPA\Bases\Base SVC Chile [mm.aa].xlsx</v>
      </c>
      <c r="F83" s="4" t="s">
        <v>25</v>
      </c>
      <c r="G83" s="4" t="s">
        <v>1569</v>
      </c>
      <c r="H83" s="4" t="str">
        <f>Rutas!$A$2&amp;"Macros\Ejemplos Macros\"</f>
        <v>G:\Shared drives\script_MLA_contabilidad_0004\Reporting\Provision de Operadores - RPA\Macros\Ejemplos Macros\</v>
      </c>
      <c r="I83" s="52" t="s">
        <v>1648</v>
      </c>
      <c r="J83" s="4" t="s">
        <v>1570</v>
      </c>
      <c r="K83" s="32" t="s">
        <v>246</v>
      </c>
      <c r="L83" s="4"/>
      <c r="M83" s="4"/>
      <c r="N83" s="4"/>
      <c r="O83" s="4"/>
      <c r="P83" t="str">
        <f>+""""&amp;Table_4[[#This Row],[Operador]]&amp;"|"&amp;Table_4[[#This Row],[País]]&amp;"|"&amp;Table_4[[#This Row],[Centro]]&amp;"|"&amp;Table_4[[#This Row],[Responsable]]&amp;"|"&amp;Table_4[[#This Row],[Ruta base]]&amp;"|"&amp;Table_4[[#This Row],[Nombre Macro]]&amp;Table_4[[#This Row],[Orden]]</f>
        <v>"CEVA|Chile|SVC Calama|ext_lacernic@mercadolibre.com|G:\Shared drives\script_MLA_contabilidad_0004\Reporting\Provision de Operadores - RPA\Bases\Base SVC Chile [mm.aa].xlsx|Macro AR SA Chile SVC_XD 070C_SC_Y1</v>
      </c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4" t="s">
        <v>38</v>
      </c>
      <c r="B84" s="4" t="s">
        <v>39</v>
      </c>
      <c r="C84" s="4" t="s">
        <v>1589</v>
      </c>
      <c r="D84" s="3" t="s">
        <v>12</v>
      </c>
      <c r="E84" s="4" t="str">
        <f>Rutas!$A$2&amp;"Bases\"&amp;F84</f>
        <v>G:\Shared drives\script_MLA_contabilidad_0004\Reporting\Provision de Operadores - RPA\Bases\Base XD Colombia [mm.aa].xlsx</v>
      </c>
      <c r="F84" s="4" t="s">
        <v>55</v>
      </c>
      <c r="G84" s="4" t="s">
        <v>49</v>
      </c>
      <c r="H84" s="4" t="str">
        <f>Rutas!$A$2&amp;"Macros\Ejemplos Macros\"</f>
        <v>G:\Shared drives\script_MLA_contabilidad_0004\Reporting\Provision de Operadores - RPA\Macros\Ejemplos Macros\</v>
      </c>
      <c r="I84" s="4" t="s">
        <v>1631</v>
      </c>
      <c r="J84" s="4" t="s">
        <v>255</v>
      </c>
      <c r="K84" s="4" t="s">
        <v>246</v>
      </c>
      <c r="L84" s="4"/>
      <c r="M84" s="4"/>
      <c r="N84" s="4"/>
      <c r="O84" s="4"/>
      <c r="P84" t="str">
        <f>+""""&amp;Table_4[[#This Row],[Operador]]&amp;"|"&amp;Table_4[[#This Row],[País]]&amp;"|"&amp;Table_4[[#This Row],[Centro]]&amp;"|"&amp;"ext_lacernic@mercadolibre.com|C:\Users\ricardo.e.torres\Documents\ProvisionOP\Bases\Base XD Colombia 07.22.xlsx"&amp;"|"&amp;Table_4[[#This Row],[Tab base]]&amp;"|"&amp;"C:\Users\ricardo.e.torres\Documents\ProvisionOP\Macros\|Macro AR SA Colombia SVCXD 07|"&amp;Table_4[[#This Row],[Orden]]</f>
        <v>"SUPPLA|Colombia|XD Pereira|ext_lacernic@mercadolibre.com|C:\Users\ricardo.e.torres\Documents\ProvisionOP\Bases\Base XD Colombia 07.22.xlsx|Resumen Pereira|C:\Users\ricardo.e.torres\Documents\ProvisionOP\Macros\|Macro AR SA Colombia SVCXD 07|0c_SRI1</v>
      </c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4" t="s">
        <v>38</v>
      </c>
      <c r="B85" s="4" t="s">
        <v>39</v>
      </c>
      <c r="C85" s="4" t="s">
        <v>1591</v>
      </c>
      <c r="D85" s="3" t="s">
        <v>12</v>
      </c>
      <c r="E85" s="4" t="str">
        <f>Rutas!$A$2&amp;"Bases\"&amp;F85</f>
        <v>G:\Shared drives\script_MLA_contabilidad_0004\Reporting\Provision de Operadores - RPA\Bases\Base XD Colombia [mm.aa].xlsx</v>
      </c>
      <c r="F85" s="4" t="s">
        <v>55</v>
      </c>
      <c r="G85" s="4" t="s">
        <v>153</v>
      </c>
      <c r="H85" s="4" t="str">
        <f>Rutas!$A$2&amp;"Macros\Ejemplos Macros\"</f>
        <v>G:\Shared drives\script_MLA_contabilidad_0004\Reporting\Provision de Operadores - RPA\Macros\Ejemplos Macros\</v>
      </c>
      <c r="I85" s="4" t="s">
        <v>1631</v>
      </c>
      <c r="J85" s="4" t="s">
        <v>290</v>
      </c>
      <c r="K85" s="4" t="s">
        <v>246</v>
      </c>
      <c r="L85" s="4"/>
      <c r="M85" s="4"/>
      <c r="N85" s="4"/>
      <c r="O85" s="4"/>
      <c r="P85" t="str">
        <f>+""""&amp;Table_4[[#This Row],[Operador]]&amp;"|"&amp;Table_4[[#This Row],[País]]&amp;"|"&amp;Table_4[[#This Row],[Centro]]&amp;"|"&amp;"ext_lacernic@mercadolibre.com|C:\Users\ricardo.e.torres\Documents\ProvisionOP\Bases\Base XD Colombia 07.22.xlsx"&amp;"|"&amp;Table_4[[#This Row],[Tab base]]&amp;"|"&amp;"C:\Users\ricardo.e.torres\Documents\ProvisionOP\Macros\|Macro AR SA Colombia SVCXD 07|"&amp;Table_4[[#This Row],[Orden]]</f>
        <v>"SUPPLA|Colombia|XD Ibague|ext_lacernic@mercadolibre.com|C:\Users\ricardo.e.torres\Documents\ProvisionOP\Bases\Base XD Colombia 07.22.xlsx|Resumen Ibague|C:\Users\ricardo.e.torres\Documents\ProvisionOP\Macros\|Macro AR SA Colombia SVCXD 07|0c_STO1</v>
      </c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4" t="s">
        <v>38</v>
      </c>
      <c r="B86" s="4" t="s">
        <v>39</v>
      </c>
      <c r="C86" s="4" t="s">
        <v>1590</v>
      </c>
      <c r="D86" s="3" t="s">
        <v>12</v>
      </c>
      <c r="E86" s="4" t="str">
        <f>Rutas!$A$2&amp;"Bases\"&amp;F86</f>
        <v>G:\Shared drives\script_MLA_contabilidad_0004\Reporting\Provision de Operadores - RPA\Bases\Base XD Colombia [mm.aa].xlsx</v>
      </c>
      <c r="F86" s="4" t="s">
        <v>55</v>
      </c>
      <c r="G86" s="4" t="s">
        <v>53</v>
      </c>
      <c r="H86" s="4" t="str">
        <f>Rutas!$A$2&amp;"Macros\Ejemplos Macros\"</f>
        <v>G:\Shared drives\script_MLA_contabilidad_0004\Reporting\Provision de Operadores - RPA\Macros\Ejemplos Macros\</v>
      </c>
      <c r="I86" s="4" t="s">
        <v>1631</v>
      </c>
      <c r="J86" s="4" t="s">
        <v>256</v>
      </c>
      <c r="K86" s="4" t="s">
        <v>246</v>
      </c>
      <c r="L86" s="4"/>
      <c r="M86" s="4"/>
      <c r="N86" s="4"/>
      <c r="O86" s="4"/>
      <c r="P86" t="str">
        <f>+""""&amp;Table_4[[#This Row],[Operador]]&amp;"|"&amp;Table_4[[#This Row],[País]]&amp;"|"&amp;Table_4[[#This Row],[Centro]]&amp;"|"&amp;"ext_lacernic@mercadolibre.com|C:\Users\ricardo.e.torres\Documents\ProvisionOP\Bases\Base XD Colombia 07.22.xlsx"&amp;"|"&amp;Table_4[[#This Row],[Tab base]]&amp;"|"&amp;"C:\Users\ricardo.e.torres\Documents\ProvisionOP\Macros\|Macro AR SA Colombia SVCXD 07|"&amp;Table_4[[#This Row],[Orden]]</f>
        <v>"SUPPLA|Colombia|XD Tunja|ext_lacernic@mercadolibre.com|C:\Users\ricardo.e.torres\Documents\ProvisionOP\Bases\Base XD Colombia 07.22.xlsx|Resumen Tunja|C:\Users\ricardo.e.torres\Documents\ProvisionOP\Macros\|Macro AR SA Colombia SVCXD 07|0c_SBY1</v>
      </c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/>
    <row r="88" spans="1:26" ht="15.75" customHeight="1" x14ac:dyDescent="0.25"/>
    <row r="89" spans="1:26" ht="15.75" customHeight="1" x14ac:dyDescent="0.25"/>
    <row r="90" spans="1:26" ht="15.75" customHeight="1" x14ac:dyDescent="0.25">
      <c r="P90" s="50"/>
    </row>
    <row r="91" spans="1:26" ht="15.75" customHeight="1" x14ac:dyDescent="0.25">
      <c r="P91" s="50"/>
    </row>
    <row r="92" spans="1:26" ht="15.75" customHeight="1" x14ac:dyDescent="0.25">
      <c r="P92" s="50"/>
    </row>
    <row r="93" spans="1:26" ht="15.75" customHeight="1" x14ac:dyDescent="0.25">
      <c r="P93" s="51" t="s">
        <v>1633</v>
      </c>
    </row>
    <row r="94" spans="1:26" ht="15.75" customHeight="1" x14ac:dyDescent="0.25">
      <c r="P94" s="51" t="s">
        <v>1634</v>
      </c>
    </row>
    <row r="95" spans="1:26" ht="15.75" customHeight="1" x14ac:dyDescent="0.25">
      <c r="P95" s="51" t="s">
        <v>1635</v>
      </c>
    </row>
    <row r="96" spans="1:26" ht="15.75" customHeight="1" x14ac:dyDescent="0.25">
      <c r="P96" s="51" t="s">
        <v>1636</v>
      </c>
    </row>
    <row r="97" spans="16:16" ht="15.75" customHeight="1" x14ac:dyDescent="0.25">
      <c r="P97" s="51" t="s">
        <v>1637</v>
      </c>
    </row>
    <row r="98" spans="16:16" ht="15.75" customHeight="1" x14ac:dyDescent="0.25">
      <c r="P98" s="51" t="s">
        <v>1632</v>
      </c>
    </row>
    <row r="99" spans="16:16" ht="15.75" customHeight="1" x14ac:dyDescent="0.25">
      <c r="P99" s="51" t="s">
        <v>1638</v>
      </c>
    </row>
    <row r="100" spans="16:16" ht="15.75" customHeight="1" x14ac:dyDescent="0.25">
      <c r="P100" s="51" t="s">
        <v>1639</v>
      </c>
    </row>
    <row r="101" spans="16:16" ht="15.75" customHeight="1" x14ac:dyDescent="0.25">
      <c r="P101" s="51" t="s">
        <v>1640</v>
      </c>
    </row>
    <row r="102" spans="16:16" ht="15.75" customHeight="1" x14ac:dyDescent="0.25">
      <c r="P102" s="51" t="s">
        <v>1641</v>
      </c>
    </row>
    <row r="103" spans="16:16" ht="15.75" customHeight="1" x14ac:dyDescent="0.25">
      <c r="P103" s="51" t="s">
        <v>1642</v>
      </c>
    </row>
    <row r="104" spans="16:16" ht="15.75" customHeight="1" x14ac:dyDescent="0.25">
      <c r="P104" s="51" t="s">
        <v>1643</v>
      </c>
    </row>
    <row r="105" spans="16:16" ht="15.75" customHeight="1" x14ac:dyDescent="0.25">
      <c r="P105" s="51" t="s">
        <v>1644</v>
      </c>
    </row>
    <row r="106" spans="16:16" ht="15.75" customHeight="1" x14ac:dyDescent="0.25">
      <c r="P106" s="51" t="s">
        <v>1645</v>
      </c>
    </row>
    <row r="107" spans="16:16" ht="15.75" customHeight="1" x14ac:dyDescent="0.25">
      <c r="P107" s="51" t="s">
        <v>1646</v>
      </c>
    </row>
    <row r="108" spans="16:16" ht="15.75" customHeight="1" x14ac:dyDescent="0.25">
      <c r="P108" s="51" t="s">
        <v>1647</v>
      </c>
    </row>
    <row r="109" spans="16:16" ht="15.75" customHeight="1" x14ac:dyDescent="0.25"/>
    <row r="110" spans="16:16" ht="15.75" customHeight="1" x14ac:dyDescent="0.25"/>
    <row r="111" spans="16:16" ht="15.75" customHeight="1" x14ac:dyDescent="0.25"/>
    <row r="112" spans="16:16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hyperlinks>
    <hyperlink ref="D17" r:id="rId1" xr:uid="{00000000-0004-0000-0300-000000000000}"/>
    <hyperlink ref="D32" r:id="rId2" xr:uid="{00000000-0004-0000-0300-000001000000}"/>
    <hyperlink ref="D33" r:id="rId3" xr:uid="{00000000-0004-0000-0300-000002000000}"/>
    <hyperlink ref="D34" r:id="rId4" xr:uid="{00000000-0004-0000-0300-000003000000}"/>
    <hyperlink ref="D35" r:id="rId5" xr:uid="{00000000-0004-0000-0300-000004000000}"/>
    <hyperlink ref="D36" r:id="rId6" xr:uid="{00000000-0004-0000-0300-000005000000}"/>
    <hyperlink ref="D37" r:id="rId7" xr:uid="{00000000-0004-0000-0300-000006000000}"/>
    <hyperlink ref="D38" r:id="rId8" xr:uid="{00000000-0004-0000-0300-000007000000}"/>
    <hyperlink ref="D39" r:id="rId9" xr:uid="{00000000-0004-0000-0300-000008000000}"/>
    <hyperlink ref="D47" r:id="rId10" xr:uid="{00000000-0004-0000-0300-000009000000}"/>
    <hyperlink ref="D48" r:id="rId11" xr:uid="{00000000-0004-0000-0300-00000A000000}"/>
    <hyperlink ref="D49" r:id="rId12" xr:uid="{00000000-0004-0000-0300-00000B000000}"/>
    <hyperlink ref="D50" r:id="rId13" xr:uid="{00000000-0004-0000-0300-00000C000000}"/>
    <hyperlink ref="D57" r:id="rId14" xr:uid="{00000000-0004-0000-0300-00000D000000}"/>
    <hyperlink ref="D58" r:id="rId15" xr:uid="{00000000-0004-0000-0300-00000E000000}"/>
    <hyperlink ref="D75" r:id="rId16" xr:uid="{00000000-0004-0000-0300-00000F000000}"/>
    <hyperlink ref="D76" r:id="rId17" xr:uid="{00000000-0004-0000-0300-000010000000}"/>
    <hyperlink ref="D77" r:id="rId18" xr:uid="{00000000-0004-0000-0300-000011000000}"/>
    <hyperlink ref="D78" r:id="rId19" xr:uid="{00000000-0004-0000-0300-000012000000}"/>
    <hyperlink ref="D79" r:id="rId20" xr:uid="{00000000-0004-0000-0300-000013000000}"/>
    <hyperlink ref="D80" r:id="rId21" xr:uid="{00000000-0004-0000-0300-000014000000}"/>
    <hyperlink ref="D81" r:id="rId22" xr:uid="{00000000-0004-0000-0300-000015000000}"/>
    <hyperlink ref="D82" r:id="rId23" xr:uid="{00000000-0004-0000-0300-000016000000}"/>
    <hyperlink ref="D83" r:id="rId24" xr:uid="{869E9D90-634B-40A5-BDD8-C293A4CFDA2A}"/>
    <hyperlink ref="D84" r:id="rId25" xr:uid="{68C2D0A9-380A-4BDB-927C-5479C39EFD8B}"/>
    <hyperlink ref="D85" r:id="rId26" xr:uid="{E7EEA1C6-D8AE-45AB-92F1-4ED17DC15473}"/>
    <hyperlink ref="D86" r:id="rId27" xr:uid="{FFC51B01-C139-4679-8C6E-794DEB465DC8}"/>
  </hyperlinks>
  <pageMargins left="0.7" right="0.7" top="0.75" bottom="0.75" header="0" footer="0"/>
  <pageSetup orientation="portrait" r:id="rId28"/>
  <drawing r:id="rId29"/>
  <legacyDrawing r:id="rId3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1" name="Button 4">
              <controlPr defaultSize="0" print="0" autoFill="0" autoPict="0" macro="[0]!main">
                <anchor moveWithCells="1" sizeWithCells="1">
                  <from>
                    <xdr:col>12</xdr:col>
                    <xdr:colOff>38100</xdr:colOff>
                    <xdr:row>8</xdr:row>
                    <xdr:rowOff>9525</xdr:rowOff>
                  </from>
                  <to>
                    <xdr:col>15</xdr:col>
                    <xdr:colOff>76200</xdr:colOff>
                    <xdr:row>14</xdr:row>
                    <xdr:rowOff>57150</xdr:rowOff>
                  </to>
                </anchor>
              </controlPr>
            </control>
          </mc:Choice>
        </mc:AlternateContent>
      </controls>
    </mc:Choice>
  </mc:AlternateContent>
  <tableParts count="2">
    <tablePart r:id="rId32"/>
    <tablePart r:id="rId33"/>
  </tablePart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ErrorMessage="1" xr:uid="{00000000-0002-0000-0300-000000000000}">
          <x14:formula1>
            <xm:f>Listas!$A$1:$A$2</xm:f>
          </x14:formula1>
          <xm:sqref>K2:K86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 filterMode="1">
    <tabColor rgb="FF92D050"/>
  </sheetPr>
  <dimension ref="A1:Z1192"/>
  <sheetViews>
    <sheetView topLeftCell="A1175" workbookViewId="0">
      <selection activeCell="C1160" sqref="C1160"/>
    </sheetView>
  </sheetViews>
  <sheetFormatPr baseColWidth="10" defaultColWidth="14.42578125" defaultRowHeight="15" customHeight="1" x14ac:dyDescent="0.25"/>
  <cols>
    <col min="1" max="1" width="28" customWidth="1"/>
    <col min="2" max="2" width="49.85546875" customWidth="1"/>
    <col min="3" max="3" width="35.42578125" customWidth="1"/>
    <col min="4" max="4" width="9.7109375" customWidth="1"/>
    <col min="5" max="6" width="12.28515625" customWidth="1"/>
    <col min="7" max="7" width="62" customWidth="1"/>
    <col min="8" max="26" width="9.140625" customWidth="1"/>
  </cols>
  <sheetData>
    <row r="1" spans="1:26" x14ac:dyDescent="0.25">
      <c r="A1" s="22" t="s">
        <v>4</v>
      </c>
      <c r="B1" s="23" t="s">
        <v>306</v>
      </c>
      <c r="C1" s="22" t="s">
        <v>307</v>
      </c>
      <c r="D1" s="22" t="s">
        <v>308</v>
      </c>
      <c r="E1" s="22" t="s">
        <v>309</v>
      </c>
      <c r="F1" s="22" t="s">
        <v>310</v>
      </c>
      <c r="G1" s="22" t="s">
        <v>311</v>
      </c>
    </row>
    <row r="2" spans="1:26" hidden="1" x14ac:dyDescent="0.25">
      <c r="A2" s="24" t="s">
        <v>312</v>
      </c>
      <c r="B2" s="24" t="s">
        <v>313</v>
      </c>
      <c r="C2" s="24" t="s">
        <v>314</v>
      </c>
      <c r="D2" s="24">
        <v>612105</v>
      </c>
      <c r="E2" s="24" t="s">
        <v>315</v>
      </c>
      <c r="F2" s="24">
        <v>9699193686</v>
      </c>
      <c r="G2" s="24" t="s">
        <v>316</v>
      </c>
    </row>
    <row r="3" spans="1:26" hidden="1" x14ac:dyDescent="0.25">
      <c r="A3" s="24" t="s">
        <v>312</v>
      </c>
      <c r="B3" s="24" t="s">
        <v>317</v>
      </c>
      <c r="C3" s="24" t="s">
        <v>318</v>
      </c>
      <c r="D3" s="24">
        <v>612105</v>
      </c>
      <c r="E3" s="24" t="s">
        <v>315</v>
      </c>
      <c r="F3" s="24">
        <v>9699193686</v>
      </c>
      <c r="G3" s="24" t="s">
        <v>319</v>
      </c>
    </row>
    <row r="4" spans="1:26" hidden="1" x14ac:dyDescent="0.25">
      <c r="A4" s="24" t="s">
        <v>312</v>
      </c>
      <c r="B4" s="24" t="s">
        <v>320</v>
      </c>
      <c r="C4" s="24" t="s">
        <v>320</v>
      </c>
      <c r="D4" s="24">
        <v>611128</v>
      </c>
      <c r="E4" s="24" t="s">
        <v>315</v>
      </c>
      <c r="F4" s="24">
        <v>9699193686</v>
      </c>
      <c r="G4" s="24" t="s">
        <v>321</v>
      </c>
      <c r="H4" s="4"/>
      <c r="I4" s="4"/>
      <c r="J4" s="4"/>
      <c r="K4" s="4"/>
      <c r="L4" s="4"/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idden="1" x14ac:dyDescent="0.25">
      <c r="A5" s="24" t="s">
        <v>312</v>
      </c>
      <c r="B5" s="24" t="s">
        <v>322</v>
      </c>
      <c r="C5" s="24" t="s">
        <v>322</v>
      </c>
      <c r="D5" s="24">
        <v>611129</v>
      </c>
      <c r="E5" s="24" t="s">
        <v>315</v>
      </c>
      <c r="F5" s="24">
        <v>9699193686</v>
      </c>
      <c r="G5" s="24" t="s">
        <v>323</v>
      </c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idden="1" x14ac:dyDescent="0.25">
      <c r="A6" s="24" t="s">
        <v>312</v>
      </c>
      <c r="B6" s="24" t="s">
        <v>324</v>
      </c>
      <c r="C6" s="24" t="s">
        <v>324</v>
      </c>
      <c r="D6" s="24">
        <v>512904</v>
      </c>
      <c r="E6" s="24" t="s">
        <v>315</v>
      </c>
      <c r="F6" s="24">
        <v>9699193686</v>
      </c>
      <c r="G6" s="24" t="s">
        <v>325</v>
      </c>
      <c r="H6" s="4"/>
      <c r="I6" s="4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idden="1" x14ac:dyDescent="0.25">
      <c r="A7" s="24" t="s">
        <v>312</v>
      </c>
      <c r="B7" s="24" t="s">
        <v>326</v>
      </c>
      <c r="C7" s="24" t="s">
        <v>327</v>
      </c>
      <c r="D7" s="24">
        <v>612105</v>
      </c>
      <c r="E7" s="24" t="s">
        <v>315</v>
      </c>
      <c r="F7" s="24">
        <v>9699193686</v>
      </c>
      <c r="G7" s="24" t="s">
        <v>328</v>
      </c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idden="1" x14ac:dyDescent="0.25">
      <c r="A8" s="24" t="s">
        <v>312</v>
      </c>
      <c r="B8" s="24" t="s">
        <v>329</v>
      </c>
      <c r="C8" s="24" t="s">
        <v>330</v>
      </c>
      <c r="D8" s="24">
        <v>611129</v>
      </c>
      <c r="E8" s="24" t="s">
        <v>315</v>
      </c>
      <c r="F8" s="24">
        <v>9699193686</v>
      </c>
      <c r="G8" s="24" t="s">
        <v>331</v>
      </c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idden="1" x14ac:dyDescent="0.25">
      <c r="A9" s="24" t="s">
        <v>312</v>
      </c>
      <c r="B9" s="24" t="s">
        <v>332</v>
      </c>
      <c r="C9" s="24" t="s">
        <v>330</v>
      </c>
      <c r="D9" s="24">
        <v>611129</v>
      </c>
      <c r="E9" s="24" t="s">
        <v>315</v>
      </c>
      <c r="F9" s="24">
        <v>9699193686</v>
      </c>
      <c r="G9" s="24" t="s">
        <v>331</v>
      </c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idden="1" x14ac:dyDescent="0.25">
      <c r="A10" s="24" t="s">
        <v>312</v>
      </c>
      <c r="B10" s="24" t="s">
        <v>333</v>
      </c>
      <c r="C10" s="24" t="s">
        <v>334</v>
      </c>
      <c r="D10" s="24">
        <v>612106</v>
      </c>
      <c r="E10" s="24" t="s">
        <v>315</v>
      </c>
      <c r="F10" s="24">
        <v>9699193686</v>
      </c>
      <c r="G10" s="24" t="s">
        <v>335</v>
      </c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idden="1" x14ac:dyDescent="0.25">
      <c r="A11" s="24" t="s">
        <v>312</v>
      </c>
      <c r="B11" s="24" t="s">
        <v>336</v>
      </c>
      <c r="C11" s="24" t="s">
        <v>336</v>
      </c>
      <c r="D11" s="24">
        <v>512883</v>
      </c>
      <c r="E11" s="24" t="s">
        <v>315</v>
      </c>
      <c r="F11" s="24">
        <v>9699193686</v>
      </c>
      <c r="G11" s="24" t="s">
        <v>337</v>
      </c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idden="1" x14ac:dyDescent="0.25">
      <c r="A12" s="24" t="s">
        <v>312</v>
      </c>
      <c r="B12" s="24" t="s">
        <v>338</v>
      </c>
      <c r="C12" s="24" t="s">
        <v>338</v>
      </c>
      <c r="D12" s="24">
        <v>512908</v>
      </c>
      <c r="E12" s="24" t="s">
        <v>315</v>
      </c>
      <c r="F12" s="24">
        <v>9699193686</v>
      </c>
      <c r="G12" s="24" t="s">
        <v>339</v>
      </c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idden="1" x14ac:dyDescent="0.25">
      <c r="A13" s="24" t="s">
        <v>312</v>
      </c>
      <c r="B13" s="24" t="s">
        <v>340</v>
      </c>
      <c r="C13" s="24" t="s">
        <v>340</v>
      </c>
      <c r="D13" s="24">
        <v>512903</v>
      </c>
      <c r="E13" s="24" t="s">
        <v>315</v>
      </c>
      <c r="F13" s="24">
        <v>9699193686</v>
      </c>
      <c r="G13" s="24" t="s">
        <v>341</v>
      </c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idden="1" x14ac:dyDescent="0.25">
      <c r="A14" s="24" t="s">
        <v>312</v>
      </c>
      <c r="B14" s="24" t="s">
        <v>342</v>
      </c>
      <c r="C14" s="24" t="s">
        <v>342</v>
      </c>
      <c r="D14" s="24">
        <v>512903</v>
      </c>
      <c r="E14" s="24" t="s">
        <v>315</v>
      </c>
      <c r="F14" s="24">
        <v>9699193686</v>
      </c>
      <c r="G14" s="24" t="s">
        <v>343</v>
      </c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idden="1" x14ac:dyDescent="0.25">
      <c r="A15" s="24" t="s">
        <v>312</v>
      </c>
      <c r="B15" s="24" t="s">
        <v>344</v>
      </c>
      <c r="C15" s="24" t="s">
        <v>345</v>
      </c>
      <c r="D15" s="24">
        <v>512985</v>
      </c>
      <c r="E15" s="24" t="s">
        <v>315</v>
      </c>
      <c r="F15" s="24">
        <v>9699193686</v>
      </c>
      <c r="G15" s="24" t="s">
        <v>346</v>
      </c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idden="1" x14ac:dyDescent="0.25">
      <c r="A16" s="24" t="s">
        <v>312</v>
      </c>
      <c r="B16" s="24" t="s">
        <v>347</v>
      </c>
      <c r="C16" s="24" t="s">
        <v>348</v>
      </c>
      <c r="D16" s="24">
        <v>512884</v>
      </c>
      <c r="E16" s="24" t="s">
        <v>315</v>
      </c>
      <c r="F16" s="24">
        <v>9699193686</v>
      </c>
      <c r="G16" s="24" t="s">
        <v>349</v>
      </c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idden="1" x14ac:dyDescent="0.25">
      <c r="A17" s="24" t="s">
        <v>312</v>
      </c>
      <c r="B17" s="24" t="s">
        <v>350</v>
      </c>
      <c r="C17" s="24" t="s">
        <v>351</v>
      </c>
      <c r="D17" s="24">
        <v>512902</v>
      </c>
      <c r="E17" s="24" t="s">
        <v>315</v>
      </c>
      <c r="F17" s="24">
        <v>9699193686</v>
      </c>
      <c r="G17" s="24" t="s">
        <v>352</v>
      </c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idden="1" x14ac:dyDescent="0.25">
      <c r="A18" s="24" t="s">
        <v>312</v>
      </c>
      <c r="B18" s="24" t="s">
        <v>353</v>
      </c>
      <c r="C18" s="24" t="s">
        <v>353</v>
      </c>
      <c r="D18" s="24">
        <v>512885</v>
      </c>
      <c r="E18" s="24" t="s">
        <v>315</v>
      </c>
      <c r="F18" s="24">
        <v>9600101858</v>
      </c>
      <c r="G18" s="24" t="s">
        <v>354</v>
      </c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idden="1" x14ac:dyDescent="0.25">
      <c r="A19" s="24" t="s">
        <v>355</v>
      </c>
      <c r="B19" s="24" t="s">
        <v>313</v>
      </c>
      <c r="C19" s="24" t="s">
        <v>314</v>
      </c>
      <c r="D19" s="24">
        <v>612105</v>
      </c>
      <c r="E19" s="24" t="s">
        <v>356</v>
      </c>
      <c r="F19" s="24">
        <v>9699193686</v>
      </c>
      <c r="G19" s="24" t="s">
        <v>357</v>
      </c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idden="1" x14ac:dyDescent="0.25">
      <c r="A20" s="24" t="s">
        <v>355</v>
      </c>
      <c r="B20" s="24" t="s">
        <v>317</v>
      </c>
      <c r="C20" s="24" t="s">
        <v>318</v>
      </c>
      <c r="D20" s="24">
        <v>612105</v>
      </c>
      <c r="E20" s="24" t="s">
        <v>356</v>
      </c>
      <c r="F20" s="24">
        <v>9699193686</v>
      </c>
      <c r="G20" s="24" t="s">
        <v>358</v>
      </c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75" hidden="1" customHeight="1" x14ac:dyDescent="0.25">
      <c r="A21" s="24" t="s">
        <v>355</v>
      </c>
      <c r="B21" s="24" t="s">
        <v>320</v>
      </c>
      <c r="C21" s="24" t="s">
        <v>320</v>
      </c>
      <c r="D21" s="24">
        <v>611128</v>
      </c>
      <c r="E21" s="24" t="s">
        <v>356</v>
      </c>
      <c r="F21" s="24">
        <v>9699193686</v>
      </c>
      <c r="G21" s="24" t="s">
        <v>359</v>
      </c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hidden="1" customHeight="1" x14ac:dyDescent="0.25">
      <c r="A22" s="24" t="s">
        <v>355</v>
      </c>
      <c r="B22" s="24" t="s">
        <v>322</v>
      </c>
      <c r="C22" s="24" t="s">
        <v>322</v>
      </c>
      <c r="D22" s="24">
        <v>611129</v>
      </c>
      <c r="E22" s="24" t="s">
        <v>356</v>
      </c>
      <c r="F22" s="24">
        <v>9699193686</v>
      </c>
      <c r="G22" s="24" t="s">
        <v>360</v>
      </c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hidden="1" customHeight="1" x14ac:dyDescent="0.25">
      <c r="A23" s="24" t="s">
        <v>355</v>
      </c>
      <c r="B23" s="24" t="s">
        <v>324</v>
      </c>
      <c r="C23" s="24" t="s">
        <v>324</v>
      </c>
      <c r="D23" s="24">
        <v>512904</v>
      </c>
      <c r="E23" s="24" t="s">
        <v>356</v>
      </c>
      <c r="F23" s="24">
        <v>9699193686</v>
      </c>
      <c r="G23" s="24" t="s">
        <v>361</v>
      </c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hidden="1" customHeight="1" x14ac:dyDescent="0.25">
      <c r="A24" s="24" t="s">
        <v>355</v>
      </c>
      <c r="B24" s="24" t="s">
        <v>332</v>
      </c>
      <c r="C24" s="24" t="s">
        <v>330</v>
      </c>
      <c r="D24" s="24">
        <v>611129</v>
      </c>
      <c r="E24" s="24" t="s">
        <v>356</v>
      </c>
      <c r="F24" s="24">
        <v>9699193686</v>
      </c>
      <c r="G24" s="24" t="s">
        <v>362</v>
      </c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hidden="1" customHeight="1" x14ac:dyDescent="0.25">
      <c r="A25" s="24" t="s">
        <v>355</v>
      </c>
      <c r="B25" s="24" t="s">
        <v>333</v>
      </c>
      <c r="C25" s="24" t="s">
        <v>334</v>
      </c>
      <c r="D25" s="24">
        <v>612106</v>
      </c>
      <c r="E25" s="24" t="s">
        <v>356</v>
      </c>
      <c r="F25" s="24">
        <v>9699193686</v>
      </c>
      <c r="G25" s="24" t="s">
        <v>363</v>
      </c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hidden="1" customHeight="1" x14ac:dyDescent="0.25">
      <c r="A26" s="24" t="s">
        <v>355</v>
      </c>
      <c r="B26" s="24" t="s">
        <v>336</v>
      </c>
      <c r="C26" s="24" t="s">
        <v>336</v>
      </c>
      <c r="D26" s="24">
        <v>512883</v>
      </c>
      <c r="E26" s="24" t="s">
        <v>356</v>
      </c>
      <c r="F26" s="24">
        <v>9699193686</v>
      </c>
      <c r="G26" s="24" t="s">
        <v>364</v>
      </c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hidden="1" customHeight="1" x14ac:dyDescent="0.25">
      <c r="A27" s="24" t="s">
        <v>355</v>
      </c>
      <c r="B27" s="24" t="s">
        <v>338</v>
      </c>
      <c r="C27" s="24" t="s">
        <v>338</v>
      </c>
      <c r="D27" s="24">
        <v>512908</v>
      </c>
      <c r="E27" s="24" t="s">
        <v>356</v>
      </c>
      <c r="F27" s="24">
        <v>9699193686</v>
      </c>
      <c r="G27" s="24" t="s">
        <v>365</v>
      </c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hidden="1" customHeight="1" x14ac:dyDescent="0.25">
      <c r="A28" s="24" t="s">
        <v>355</v>
      </c>
      <c r="B28" s="24" t="s">
        <v>340</v>
      </c>
      <c r="C28" s="24" t="s">
        <v>340</v>
      </c>
      <c r="D28" s="24">
        <v>512903</v>
      </c>
      <c r="E28" s="24" t="s">
        <v>356</v>
      </c>
      <c r="F28" s="24">
        <v>9699193686</v>
      </c>
      <c r="G28" s="24" t="s">
        <v>366</v>
      </c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hidden="1" customHeight="1" x14ac:dyDescent="0.25">
      <c r="A29" s="24" t="s">
        <v>355</v>
      </c>
      <c r="B29" s="24" t="s">
        <v>342</v>
      </c>
      <c r="C29" s="24" t="s">
        <v>342</v>
      </c>
      <c r="D29" s="24">
        <v>512903</v>
      </c>
      <c r="E29" s="24" t="s">
        <v>356</v>
      </c>
      <c r="F29" s="24">
        <v>9699193686</v>
      </c>
      <c r="G29" s="24" t="s">
        <v>367</v>
      </c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hidden="1" customHeight="1" x14ac:dyDescent="0.25">
      <c r="A30" s="24" t="s">
        <v>355</v>
      </c>
      <c r="B30" s="24" t="s">
        <v>344</v>
      </c>
      <c r="C30" s="24" t="s">
        <v>345</v>
      </c>
      <c r="D30" s="24">
        <v>512985</v>
      </c>
      <c r="E30" s="24" t="s">
        <v>356</v>
      </c>
      <c r="F30" s="24">
        <v>9699193686</v>
      </c>
      <c r="G30" s="24" t="s">
        <v>368</v>
      </c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hidden="1" customHeight="1" x14ac:dyDescent="0.25">
      <c r="A31" s="24" t="s">
        <v>355</v>
      </c>
      <c r="B31" s="24" t="s">
        <v>347</v>
      </c>
      <c r="C31" s="24" t="s">
        <v>348</v>
      </c>
      <c r="D31" s="24">
        <v>512884</v>
      </c>
      <c r="E31" s="24" t="s">
        <v>356</v>
      </c>
      <c r="F31" s="24">
        <v>9699193686</v>
      </c>
      <c r="G31" s="24" t="s">
        <v>369</v>
      </c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hidden="1" customHeight="1" x14ac:dyDescent="0.25">
      <c r="A32" s="24" t="s">
        <v>355</v>
      </c>
      <c r="B32" s="24" t="s">
        <v>350</v>
      </c>
      <c r="C32" s="24" t="s">
        <v>351</v>
      </c>
      <c r="D32" s="24">
        <v>512902</v>
      </c>
      <c r="E32" s="24" t="s">
        <v>356</v>
      </c>
      <c r="F32" s="24">
        <v>9699193686</v>
      </c>
      <c r="G32" s="24" t="s">
        <v>370</v>
      </c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hidden="1" customHeight="1" x14ac:dyDescent="0.25">
      <c r="A33" s="24" t="s">
        <v>355</v>
      </c>
      <c r="B33" s="24" t="s">
        <v>353</v>
      </c>
      <c r="C33" s="24" t="s">
        <v>353</v>
      </c>
      <c r="D33" s="24">
        <v>512885</v>
      </c>
      <c r="E33" s="24" t="s">
        <v>356</v>
      </c>
      <c r="F33" s="24">
        <v>9699193686</v>
      </c>
      <c r="G33" s="24" t="s">
        <v>371</v>
      </c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hidden="1" customHeight="1" x14ac:dyDescent="0.25">
      <c r="A34" s="24" t="s">
        <v>372</v>
      </c>
      <c r="B34" s="24" t="s">
        <v>313</v>
      </c>
      <c r="C34" s="24" t="s">
        <v>314</v>
      </c>
      <c r="D34" s="24">
        <v>612105</v>
      </c>
      <c r="E34" s="24" t="s">
        <v>373</v>
      </c>
      <c r="F34" s="24">
        <v>9699193686</v>
      </c>
      <c r="G34" s="24" t="s">
        <v>374</v>
      </c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hidden="1" customHeight="1" x14ac:dyDescent="0.25">
      <c r="A35" s="24" t="s">
        <v>372</v>
      </c>
      <c r="B35" s="24" t="s">
        <v>317</v>
      </c>
      <c r="C35" s="24" t="s">
        <v>318</v>
      </c>
      <c r="D35" s="24">
        <v>612105</v>
      </c>
      <c r="E35" s="24" t="s">
        <v>373</v>
      </c>
      <c r="F35" s="24">
        <v>9699193686</v>
      </c>
      <c r="G35" s="24" t="s">
        <v>375</v>
      </c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hidden="1" customHeight="1" x14ac:dyDescent="0.25">
      <c r="A36" s="24" t="s">
        <v>372</v>
      </c>
      <c r="B36" s="24" t="s">
        <v>320</v>
      </c>
      <c r="C36" s="24" t="s">
        <v>320</v>
      </c>
      <c r="D36" s="24">
        <v>611128</v>
      </c>
      <c r="E36" s="24" t="s">
        <v>373</v>
      </c>
      <c r="F36" s="24">
        <v>9699193686</v>
      </c>
      <c r="G36" s="24" t="s">
        <v>376</v>
      </c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hidden="1" customHeight="1" x14ac:dyDescent="0.25">
      <c r="A37" s="24" t="s">
        <v>372</v>
      </c>
      <c r="B37" s="24" t="s">
        <v>322</v>
      </c>
      <c r="C37" s="24" t="s">
        <v>322</v>
      </c>
      <c r="D37" s="24">
        <v>611129</v>
      </c>
      <c r="E37" s="24" t="s">
        <v>373</v>
      </c>
      <c r="F37" s="24">
        <v>9699193686</v>
      </c>
      <c r="G37" s="24" t="s">
        <v>377</v>
      </c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hidden="1" customHeight="1" x14ac:dyDescent="0.25">
      <c r="A38" s="24" t="s">
        <v>372</v>
      </c>
      <c r="B38" s="24" t="s">
        <v>324</v>
      </c>
      <c r="C38" s="24" t="s">
        <v>324</v>
      </c>
      <c r="D38" s="24">
        <v>512904</v>
      </c>
      <c r="E38" s="24" t="s">
        <v>373</v>
      </c>
      <c r="F38" s="24">
        <v>9699193686</v>
      </c>
      <c r="G38" s="24" t="s">
        <v>378</v>
      </c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hidden="1" customHeight="1" x14ac:dyDescent="0.25">
      <c r="A39" s="24" t="s">
        <v>372</v>
      </c>
      <c r="B39" s="24" t="s">
        <v>332</v>
      </c>
      <c r="C39" s="24" t="s">
        <v>330</v>
      </c>
      <c r="D39" s="24">
        <v>611129</v>
      </c>
      <c r="E39" s="24" t="s">
        <v>373</v>
      </c>
      <c r="F39" s="24">
        <v>9699193686</v>
      </c>
      <c r="G39" s="24" t="s">
        <v>379</v>
      </c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hidden="1" customHeight="1" x14ac:dyDescent="0.25">
      <c r="A40" s="24" t="s">
        <v>372</v>
      </c>
      <c r="B40" s="24" t="s">
        <v>333</v>
      </c>
      <c r="C40" s="24" t="s">
        <v>334</v>
      </c>
      <c r="D40" s="24">
        <v>612106</v>
      </c>
      <c r="E40" s="24" t="s">
        <v>373</v>
      </c>
      <c r="F40" s="24">
        <v>9699193686</v>
      </c>
      <c r="G40" s="24" t="s">
        <v>380</v>
      </c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hidden="1" customHeight="1" x14ac:dyDescent="0.25">
      <c r="A41" s="24" t="s">
        <v>372</v>
      </c>
      <c r="B41" s="24" t="s">
        <v>336</v>
      </c>
      <c r="C41" s="24" t="s">
        <v>336</v>
      </c>
      <c r="D41" s="24">
        <v>512883</v>
      </c>
      <c r="E41" s="24" t="s">
        <v>373</v>
      </c>
      <c r="F41" s="24">
        <v>9699193686</v>
      </c>
      <c r="G41" s="24" t="s">
        <v>381</v>
      </c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hidden="1" customHeight="1" x14ac:dyDescent="0.25">
      <c r="A42" s="24" t="s">
        <v>372</v>
      </c>
      <c r="B42" s="24" t="s">
        <v>338</v>
      </c>
      <c r="C42" s="24" t="s">
        <v>338</v>
      </c>
      <c r="D42" s="24">
        <v>512908</v>
      </c>
      <c r="E42" s="24" t="s">
        <v>373</v>
      </c>
      <c r="F42" s="24">
        <v>9699193686</v>
      </c>
      <c r="G42" s="24" t="s">
        <v>382</v>
      </c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hidden="1" customHeight="1" x14ac:dyDescent="0.25">
      <c r="A43" s="24" t="s">
        <v>372</v>
      </c>
      <c r="B43" s="24" t="s">
        <v>340</v>
      </c>
      <c r="C43" s="24" t="s">
        <v>340</v>
      </c>
      <c r="D43" s="24">
        <v>512903</v>
      </c>
      <c r="E43" s="24" t="s">
        <v>373</v>
      </c>
      <c r="F43" s="24">
        <v>9699193686</v>
      </c>
      <c r="G43" s="24" t="s">
        <v>383</v>
      </c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hidden="1" customHeight="1" x14ac:dyDescent="0.25">
      <c r="A44" s="24" t="s">
        <v>372</v>
      </c>
      <c r="B44" s="24" t="s">
        <v>342</v>
      </c>
      <c r="C44" s="24" t="s">
        <v>342</v>
      </c>
      <c r="D44" s="24">
        <v>512903</v>
      </c>
      <c r="E44" s="24" t="s">
        <v>373</v>
      </c>
      <c r="F44" s="24">
        <v>9699193686</v>
      </c>
      <c r="G44" s="24" t="s">
        <v>384</v>
      </c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hidden="1" customHeight="1" x14ac:dyDescent="0.25">
      <c r="A45" s="24" t="s">
        <v>372</v>
      </c>
      <c r="B45" s="24" t="s">
        <v>344</v>
      </c>
      <c r="C45" s="24" t="s">
        <v>345</v>
      </c>
      <c r="D45" s="24">
        <v>512985</v>
      </c>
      <c r="E45" s="24" t="s">
        <v>373</v>
      </c>
      <c r="F45" s="24">
        <v>9699193686</v>
      </c>
      <c r="G45" s="24" t="s">
        <v>385</v>
      </c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hidden="1" customHeight="1" x14ac:dyDescent="0.25">
      <c r="A46" s="24" t="s">
        <v>372</v>
      </c>
      <c r="B46" s="24" t="s">
        <v>347</v>
      </c>
      <c r="C46" s="24" t="s">
        <v>348</v>
      </c>
      <c r="D46" s="24">
        <v>512884</v>
      </c>
      <c r="E46" s="24" t="s">
        <v>373</v>
      </c>
      <c r="F46" s="24">
        <v>9699193686</v>
      </c>
      <c r="G46" s="24" t="s">
        <v>386</v>
      </c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hidden="1" customHeight="1" x14ac:dyDescent="0.25">
      <c r="A47" s="24" t="s">
        <v>372</v>
      </c>
      <c r="B47" s="24" t="s">
        <v>350</v>
      </c>
      <c r="C47" s="24" t="s">
        <v>351</v>
      </c>
      <c r="D47" s="24">
        <v>512902</v>
      </c>
      <c r="E47" s="24" t="s">
        <v>373</v>
      </c>
      <c r="F47" s="24">
        <v>9699193686</v>
      </c>
      <c r="G47" s="24" t="s">
        <v>387</v>
      </c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hidden="1" customHeight="1" x14ac:dyDescent="0.25">
      <c r="A48" s="24" t="s">
        <v>372</v>
      </c>
      <c r="B48" s="24" t="s">
        <v>353</v>
      </c>
      <c r="C48" s="24" t="s">
        <v>353</v>
      </c>
      <c r="D48" s="24">
        <v>512885</v>
      </c>
      <c r="E48" s="24" t="s">
        <v>373</v>
      </c>
      <c r="F48" s="24">
        <v>9699193686</v>
      </c>
      <c r="G48" s="24" t="s">
        <v>388</v>
      </c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hidden="1" customHeight="1" x14ac:dyDescent="0.25">
      <c r="A49" s="24" t="s">
        <v>389</v>
      </c>
      <c r="B49" s="24" t="s">
        <v>313</v>
      </c>
      <c r="C49" s="24" t="s">
        <v>314</v>
      </c>
      <c r="D49" s="24">
        <v>612105</v>
      </c>
      <c r="E49" s="24" t="s">
        <v>373</v>
      </c>
      <c r="F49" s="24">
        <v>9699193686</v>
      </c>
      <c r="G49" s="24" t="s">
        <v>390</v>
      </c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hidden="1" customHeight="1" x14ac:dyDescent="0.25">
      <c r="A50" s="24" t="s">
        <v>389</v>
      </c>
      <c r="B50" s="24" t="s">
        <v>317</v>
      </c>
      <c r="C50" s="24" t="s">
        <v>318</v>
      </c>
      <c r="D50" s="24">
        <v>612105</v>
      </c>
      <c r="E50" s="24" t="s">
        <v>373</v>
      </c>
      <c r="F50" s="24">
        <v>9699193686</v>
      </c>
      <c r="G50" s="24" t="s">
        <v>391</v>
      </c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hidden="1" customHeight="1" x14ac:dyDescent="0.25">
      <c r="A51" s="24" t="s">
        <v>389</v>
      </c>
      <c r="B51" s="24" t="s">
        <v>320</v>
      </c>
      <c r="C51" s="24" t="s">
        <v>320</v>
      </c>
      <c r="D51" s="24">
        <v>611128</v>
      </c>
      <c r="E51" s="24" t="s">
        <v>373</v>
      </c>
      <c r="F51" s="24">
        <v>9699193686</v>
      </c>
      <c r="G51" s="24" t="s">
        <v>392</v>
      </c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hidden="1" customHeight="1" x14ac:dyDescent="0.25">
      <c r="A52" s="24" t="s">
        <v>389</v>
      </c>
      <c r="B52" s="24" t="s">
        <v>322</v>
      </c>
      <c r="C52" s="24" t="s">
        <v>322</v>
      </c>
      <c r="D52" s="24">
        <v>611129</v>
      </c>
      <c r="E52" s="24" t="s">
        <v>373</v>
      </c>
      <c r="F52" s="24">
        <v>9699193686</v>
      </c>
      <c r="G52" s="24" t="s">
        <v>393</v>
      </c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hidden="1" customHeight="1" x14ac:dyDescent="0.25">
      <c r="A53" s="24" t="s">
        <v>389</v>
      </c>
      <c r="B53" s="24" t="s">
        <v>324</v>
      </c>
      <c r="C53" s="24" t="s">
        <v>324</v>
      </c>
      <c r="D53" s="24">
        <v>512904</v>
      </c>
      <c r="E53" s="24" t="s">
        <v>373</v>
      </c>
      <c r="F53" s="24">
        <v>9699193686</v>
      </c>
      <c r="G53" s="24" t="s">
        <v>394</v>
      </c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hidden="1" customHeight="1" x14ac:dyDescent="0.25">
      <c r="A54" s="24" t="s">
        <v>389</v>
      </c>
      <c r="B54" s="24" t="s">
        <v>332</v>
      </c>
      <c r="C54" s="24" t="s">
        <v>330</v>
      </c>
      <c r="D54" s="24">
        <v>611129</v>
      </c>
      <c r="E54" s="24" t="s">
        <v>373</v>
      </c>
      <c r="F54" s="24">
        <v>9699193686</v>
      </c>
      <c r="G54" s="24" t="s">
        <v>395</v>
      </c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hidden="1" customHeight="1" x14ac:dyDescent="0.25">
      <c r="A55" s="24" t="s">
        <v>389</v>
      </c>
      <c r="B55" s="24" t="s">
        <v>333</v>
      </c>
      <c r="C55" s="24" t="s">
        <v>334</v>
      </c>
      <c r="D55" s="24">
        <v>612106</v>
      </c>
      <c r="E55" s="24" t="s">
        <v>373</v>
      </c>
      <c r="F55" s="24">
        <v>9699193686</v>
      </c>
      <c r="G55" s="24" t="s">
        <v>396</v>
      </c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hidden="1" customHeight="1" x14ac:dyDescent="0.25">
      <c r="A56" s="24" t="s">
        <v>389</v>
      </c>
      <c r="B56" s="24" t="s">
        <v>336</v>
      </c>
      <c r="C56" s="24" t="s">
        <v>336</v>
      </c>
      <c r="D56" s="24">
        <v>512883</v>
      </c>
      <c r="E56" s="24" t="s">
        <v>373</v>
      </c>
      <c r="F56" s="24">
        <v>9699193686</v>
      </c>
      <c r="G56" s="24" t="s">
        <v>397</v>
      </c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hidden="1" customHeight="1" x14ac:dyDescent="0.25">
      <c r="A57" s="24" t="s">
        <v>389</v>
      </c>
      <c r="B57" s="24" t="s">
        <v>338</v>
      </c>
      <c r="C57" s="24" t="s">
        <v>338</v>
      </c>
      <c r="D57" s="24">
        <v>512908</v>
      </c>
      <c r="E57" s="24" t="s">
        <v>373</v>
      </c>
      <c r="F57" s="24">
        <v>9699193686</v>
      </c>
      <c r="G57" s="24" t="s">
        <v>398</v>
      </c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hidden="1" customHeight="1" x14ac:dyDescent="0.25">
      <c r="A58" s="24" t="s">
        <v>389</v>
      </c>
      <c r="B58" s="24" t="s">
        <v>340</v>
      </c>
      <c r="C58" s="24" t="s">
        <v>340</v>
      </c>
      <c r="D58" s="24">
        <v>512903</v>
      </c>
      <c r="E58" s="24" t="s">
        <v>373</v>
      </c>
      <c r="F58" s="24">
        <v>9699193686</v>
      </c>
      <c r="G58" s="24" t="s">
        <v>399</v>
      </c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hidden="1" customHeight="1" x14ac:dyDescent="0.25">
      <c r="A59" s="24" t="s">
        <v>389</v>
      </c>
      <c r="B59" s="24" t="s">
        <v>342</v>
      </c>
      <c r="C59" s="24" t="s">
        <v>342</v>
      </c>
      <c r="D59" s="24">
        <v>512903</v>
      </c>
      <c r="E59" s="24" t="s">
        <v>373</v>
      </c>
      <c r="F59" s="24">
        <v>9699193686</v>
      </c>
      <c r="G59" s="24" t="s">
        <v>400</v>
      </c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hidden="1" customHeight="1" x14ac:dyDescent="0.25">
      <c r="A60" s="24" t="s">
        <v>389</v>
      </c>
      <c r="B60" s="24" t="s">
        <v>344</v>
      </c>
      <c r="C60" s="24" t="s">
        <v>345</v>
      </c>
      <c r="D60" s="24">
        <v>512985</v>
      </c>
      <c r="E60" s="24" t="s">
        <v>373</v>
      </c>
      <c r="F60" s="24">
        <v>9699193686</v>
      </c>
      <c r="G60" s="24" t="s">
        <v>401</v>
      </c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hidden="1" customHeight="1" x14ac:dyDescent="0.25">
      <c r="A61" s="24" t="s">
        <v>389</v>
      </c>
      <c r="B61" s="24" t="s">
        <v>347</v>
      </c>
      <c r="C61" s="24" t="s">
        <v>348</v>
      </c>
      <c r="D61" s="24">
        <v>512884</v>
      </c>
      <c r="E61" s="24" t="s">
        <v>373</v>
      </c>
      <c r="F61" s="24">
        <v>9699193686</v>
      </c>
      <c r="G61" s="24" t="s">
        <v>402</v>
      </c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hidden="1" customHeight="1" x14ac:dyDescent="0.25">
      <c r="A62" s="24" t="s">
        <v>389</v>
      </c>
      <c r="B62" s="24" t="s">
        <v>350</v>
      </c>
      <c r="C62" s="24" t="s">
        <v>351</v>
      </c>
      <c r="D62" s="24">
        <v>512902</v>
      </c>
      <c r="E62" s="24" t="s">
        <v>373</v>
      </c>
      <c r="F62" s="24">
        <v>9699193686</v>
      </c>
      <c r="G62" s="24" t="s">
        <v>403</v>
      </c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hidden="1" customHeight="1" x14ac:dyDescent="0.25">
      <c r="A63" s="24" t="s">
        <v>389</v>
      </c>
      <c r="B63" s="24" t="s">
        <v>353</v>
      </c>
      <c r="C63" s="24" t="s">
        <v>353</v>
      </c>
      <c r="D63" s="24">
        <v>512885</v>
      </c>
      <c r="E63" s="24" t="s">
        <v>373</v>
      </c>
      <c r="F63" s="24">
        <v>9699193686</v>
      </c>
      <c r="G63" s="24" t="s">
        <v>404</v>
      </c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hidden="1" customHeight="1" x14ac:dyDescent="0.25">
      <c r="A64" s="24" t="s">
        <v>405</v>
      </c>
      <c r="B64" s="24" t="s">
        <v>313</v>
      </c>
      <c r="C64" s="24" t="s">
        <v>314</v>
      </c>
      <c r="D64" s="24">
        <v>612105</v>
      </c>
      <c r="E64" s="24" t="s">
        <v>373</v>
      </c>
      <c r="F64" s="24">
        <v>9699193686</v>
      </c>
      <c r="G64" s="24" t="s">
        <v>406</v>
      </c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hidden="1" customHeight="1" x14ac:dyDescent="0.25">
      <c r="A65" s="24" t="s">
        <v>405</v>
      </c>
      <c r="B65" s="24" t="s">
        <v>317</v>
      </c>
      <c r="C65" s="24" t="s">
        <v>318</v>
      </c>
      <c r="D65" s="24">
        <v>612105</v>
      </c>
      <c r="E65" s="24" t="s">
        <v>373</v>
      </c>
      <c r="F65" s="24">
        <v>9699193686</v>
      </c>
      <c r="G65" s="24" t="s">
        <v>407</v>
      </c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hidden="1" customHeight="1" x14ac:dyDescent="0.25">
      <c r="A66" s="24" t="s">
        <v>405</v>
      </c>
      <c r="B66" s="24" t="s">
        <v>320</v>
      </c>
      <c r="C66" s="24" t="s">
        <v>320</v>
      </c>
      <c r="D66" s="24">
        <v>611128</v>
      </c>
      <c r="E66" s="24" t="s">
        <v>373</v>
      </c>
      <c r="F66" s="24">
        <v>9699193686</v>
      </c>
      <c r="G66" s="24" t="s">
        <v>408</v>
      </c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hidden="1" customHeight="1" x14ac:dyDescent="0.25">
      <c r="A67" s="24" t="s">
        <v>405</v>
      </c>
      <c r="B67" s="24" t="s">
        <v>322</v>
      </c>
      <c r="C67" s="24" t="s">
        <v>322</v>
      </c>
      <c r="D67" s="24">
        <v>611129</v>
      </c>
      <c r="E67" s="24" t="s">
        <v>373</v>
      </c>
      <c r="F67" s="24">
        <v>9699193686</v>
      </c>
      <c r="G67" s="24" t="s">
        <v>409</v>
      </c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hidden="1" customHeight="1" x14ac:dyDescent="0.25">
      <c r="A68" s="24" t="s">
        <v>405</v>
      </c>
      <c r="B68" s="24" t="s">
        <v>324</v>
      </c>
      <c r="C68" s="24" t="s">
        <v>324</v>
      </c>
      <c r="D68" s="24">
        <v>512904</v>
      </c>
      <c r="E68" s="24" t="s">
        <v>373</v>
      </c>
      <c r="F68" s="24">
        <v>9699193686</v>
      </c>
      <c r="G68" s="24" t="s">
        <v>410</v>
      </c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hidden="1" customHeight="1" x14ac:dyDescent="0.25">
      <c r="A69" s="24" t="s">
        <v>405</v>
      </c>
      <c r="B69" s="24" t="s">
        <v>332</v>
      </c>
      <c r="C69" s="24" t="s">
        <v>330</v>
      </c>
      <c r="D69" s="24">
        <v>611129</v>
      </c>
      <c r="E69" s="24" t="s">
        <v>373</v>
      </c>
      <c r="F69" s="24">
        <v>9699193686</v>
      </c>
      <c r="G69" s="24" t="s">
        <v>411</v>
      </c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hidden="1" customHeight="1" x14ac:dyDescent="0.25">
      <c r="A70" s="24" t="s">
        <v>405</v>
      </c>
      <c r="B70" s="24" t="s">
        <v>333</v>
      </c>
      <c r="C70" s="24" t="s">
        <v>334</v>
      </c>
      <c r="D70" s="24">
        <v>612106</v>
      </c>
      <c r="E70" s="24" t="s">
        <v>373</v>
      </c>
      <c r="F70" s="24">
        <v>9699193686</v>
      </c>
      <c r="G70" s="24" t="s">
        <v>412</v>
      </c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hidden="1" customHeight="1" x14ac:dyDescent="0.25">
      <c r="A71" s="24" t="s">
        <v>405</v>
      </c>
      <c r="B71" s="24" t="s">
        <v>336</v>
      </c>
      <c r="C71" s="24" t="s">
        <v>336</v>
      </c>
      <c r="D71" s="24">
        <v>512883</v>
      </c>
      <c r="E71" s="24" t="s">
        <v>373</v>
      </c>
      <c r="F71" s="24">
        <v>9699193686</v>
      </c>
      <c r="G71" s="24" t="s">
        <v>413</v>
      </c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hidden="1" customHeight="1" x14ac:dyDescent="0.25">
      <c r="A72" s="24" t="s">
        <v>405</v>
      </c>
      <c r="B72" s="24" t="s">
        <v>338</v>
      </c>
      <c r="C72" s="24" t="s">
        <v>338</v>
      </c>
      <c r="D72" s="24">
        <v>512908</v>
      </c>
      <c r="E72" s="24" t="s">
        <v>373</v>
      </c>
      <c r="F72" s="24">
        <v>9699193686</v>
      </c>
      <c r="G72" s="24" t="s">
        <v>414</v>
      </c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hidden="1" customHeight="1" x14ac:dyDescent="0.25">
      <c r="A73" s="24" t="s">
        <v>405</v>
      </c>
      <c r="B73" s="24" t="s">
        <v>340</v>
      </c>
      <c r="C73" s="24" t="s">
        <v>340</v>
      </c>
      <c r="D73" s="24">
        <v>512903</v>
      </c>
      <c r="E73" s="24" t="s">
        <v>373</v>
      </c>
      <c r="F73" s="24">
        <v>9699193686</v>
      </c>
      <c r="G73" s="24" t="s">
        <v>415</v>
      </c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hidden="1" customHeight="1" x14ac:dyDescent="0.25">
      <c r="A74" s="24" t="s">
        <v>405</v>
      </c>
      <c r="B74" s="24" t="s">
        <v>342</v>
      </c>
      <c r="C74" s="24" t="s">
        <v>342</v>
      </c>
      <c r="D74" s="24">
        <v>512903</v>
      </c>
      <c r="E74" s="24" t="s">
        <v>373</v>
      </c>
      <c r="F74" s="24">
        <v>9699193686</v>
      </c>
      <c r="G74" s="24" t="s">
        <v>416</v>
      </c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hidden="1" customHeight="1" x14ac:dyDescent="0.25">
      <c r="A75" s="24" t="s">
        <v>405</v>
      </c>
      <c r="B75" s="24" t="s">
        <v>344</v>
      </c>
      <c r="C75" s="24" t="s">
        <v>345</v>
      </c>
      <c r="D75" s="24">
        <v>512985</v>
      </c>
      <c r="E75" s="24" t="s">
        <v>373</v>
      </c>
      <c r="F75" s="24">
        <v>9699193686</v>
      </c>
      <c r="G75" s="24" t="s">
        <v>417</v>
      </c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hidden="1" customHeight="1" x14ac:dyDescent="0.25">
      <c r="A76" s="24" t="s">
        <v>405</v>
      </c>
      <c r="B76" s="24" t="s">
        <v>347</v>
      </c>
      <c r="C76" s="24" t="s">
        <v>348</v>
      </c>
      <c r="D76" s="24">
        <v>512884</v>
      </c>
      <c r="E76" s="24" t="s">
        <v>373</v>
      </c>
      <c r="F76" s="24">
        <v>9699193686</v>
      </c>
      <c r="G76" s="24" t="s">
        <v>418</v>
      </c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5.75" hidden="1" customHeight="1" x14ac:dyDescent="0.25">
      <c r="A77" s="24" t="s">
        <v>405</v>
      </c>
      <c r="B77" s="24" t="s">
        <v>350</v>
      </c>
      <c r="C77" s="24" t="s">
        <v>351</v>
      </c>
      <c r="D77" s="24">
        <v>512902</v>
      </c>
      <c r="E77" s="24" t="s">
        <v>373</v>
      </c>
      <c r="F77" s="24">
        <v>9699193686</v>
      </c>
      <c r="G77" s="24" t="s">
        <v>419</v>
      </c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5.75" hidden="1" customHeight="1" x14ac:dyDescent="0.25">
      <c r="A78" s="24" t="s">
        <v>405</v>
      </c>
      <c r="B78" s="24" t="s">
        <v>353</v>
      </c>
      <c r="C78" s="24" t="s">
        <v>353</v>
      </c>
      <c r="D78" s="24">
        <v>512885</v>
      </c>
      <c r="E78" s="24" t="s">
        <v>373</v>
      </c>
      <c r="F78" s="24">
        <v>9699193686</v>
      </c>
      <c r="G78" s="24" t="s">
        <v>420</v>
      </c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5.75" hidden="1" customHeight="1" x14ac:dyDescent="0.25">
      <c r="A79" s="24" t="s">
        <v>421</v>
      </c>
      <c r="B79" s="24" t="s">
        <v>313</v>
      </c>
      <c r="C79" s="24" t="s">
        <v>314</v>
      </c>
      <c r="D79" s="24">
        <v>612105</v>
      </c>
      <c r="E79" s="24" t="s">
        <v>373</v>
      </c>
      <c r="F79" s="24">
        <v>9699193686</v>
      </c>
      <c r="G79" s="24" t="s">
        <v>422</v>
      </c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hidden="1" customHeight="1" x14ac:dyDescent="0.25">
      <c r="A80" s="24" t="s">
        <v>421</v>
      </c>
      <c r="B80" s="24" t="s">
        <v>317</v>
      </c>
      <c r="C80" s="24" t="s">
        <v>318</v>
      </c>
      <c r="D80" s="24">
        <v>612105</v>
      </c>
      <c r="E80" s="24" t="s">
        <v>373</v>
      </c>
      <c r="F80" s="24">
        <v>9699193686</v>
      </c>
      <c r="G80" s="24" t="s">
        <v>423</v>
      </c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hidden="1" customHeight="1" x14ac:dyDescent="0.25">
      <c r="A81" s="24" t="s">
        <v>421</v>
      </c>
      <c r="B81" s="24" t="s">
        <v>320</v>
      </c>
      <c r="C81" s="24" t="s">
        <v>320</v>
      </c>
      <c r="D81" s="24">
        <v>611128</v>
      </c>
      <c r="E81" s="24" t="s">
        <v>373</v>
      </c>
      <c r="F81" s="24">
        <v>9699193686</v>
      </c>
      <c r="G81" s="24" t="s">
        <v>424</v>
      </c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hidden="1" customHeight="1" x14ac:dyDescent="0.25">
      <c r="A82" s="24" t="s">
        <v>421</v>
      </c>
      <c r="B82" s="24" t="s">
        <v>322</v>
      </c>
      <c r="C82" s="24" t="s">
        <v>322</v>
      </c>
      <c r="D82" s="24">
        <v>611129</v>
      </c>
      <c r="E82" s="24" t="s">
        <v>373</v>
      </c>
      <c r="F82" s="24">
        <v>9699193686</v>
      </c>
      <c r="G82" s="24" t="s">
        <v>425</v>
      </c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hidden="1" customHeight="1" x14ac:dyDescent="0.25">
      <c r="A83" s="24" t="s">
        <v>421</v>
      </c>
      <c r="B83" s="24" t="s">
        <v>324</v>
      </c>
      <c r="C83" s="24" t="s">
        <v>324</v>
      </c>
      <c r="D83" s="24">
        <v>512904</v>
      </c>
      <c r="E83" s="24" t="s">
        <v>373</v>
      </c>
      <c r="F83" s="24">
        <v>9699193686</v>
      </c>
      <c r="G83" s="24" t="s">
        <v>426</v>
      </c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hidden="1" customHeight="1" x14ac:dyDescent="0.25">
      <c r="A84" s="24" t="s">
        <v>421</v>
      </c>
      <c r="B84" s="24" t="s">
        <v>332</v>
      </c>
      <c r="C84" s="24" t="s">
        <v>330</v>
      </c>
      <c r="D84" s="24">
        <v>611129</v>
      </c>
      <c r="E84" s="24" t="s">
        <v>373</v>
      </c>
      <c r="F84" s="24">
        <v>9699193686</v>
      </c>
      <c r="G84" s="24" t="s">
        <v>427</v>
      </c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hidden="1" customHeight="1" x14ac:dyDescent="0.25">
      <c r="A85" s="24" t="s">
        <v>421</v>
      </c>
      <c r="B85" s="24" t="s">
        <v>333</v>
      </c>
      <c r="C85" s="24" t="s">
        <v>334</v>
      </c>
      <c r="D85" s="24">
        <v>612106</v>
      </c>
      <c r="E85" s="24" t="s">
        <v>373</v>
      </c>
      <c r="F85" s="24">
        <v>9699193686</v>
      </c>
      <c r="G85" s="24" t="s">
        <v>428</v>
      </c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hidden="1" customHeight="1" x14ac:dyDescent="0.25">
      <c r="A86" s="24" t="s">
        <v>421</v>
      </c>
      <c r="B86" s="24" t="s">
        <v>336</v>
      </c>
      <c r="C86" s="24" t="s">
        <v>336</v>
      </c>
      <c r="D86" s="24">
        <v>512883</v>
      </c>
      <c r="E86" s="24" t="s">
        <v>373</v>
      </c>
      <c r="F86" s="24">
        <v>9699193686</v>
      </c>
      <c r="G86" s="24" t="s">
        <v>429</v>
      </c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hidden="1" customHeight="1" x14ac:dyDescent="0.25">
      <c r="A87" s="24" t="s">
        <v>421</v>
      </c>
      <c r="B87" s="24" t="s">
        <v>338</v>
      </c>
      <c r="C87" s="24" t="s">
        <v>338</v>
      </c>
      <c r="D87" s="24">
        <v>512908</v>
      </c>
      <c r="E87" s="24" t="s">
        <v>373</v>
      </c>
      <c r="F87" s="24">
        <v>9699193686</v>
      </c>
      <c r="G87" s="24" t="s">
        <v>430</v>
      </c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5.75" hidden="1" customHeight="1" x14ac:dyDescent="0.25">
      <c r="A88" s="24" t="s">
        <v>421</v>
      </c>
      <c r="B88" s="24" t="s">
        <v>340</v>
      </c>
      <c r="C88" s="24" t="s">
        <v>340</v>
      </c>
      <c r="D88" s="24">
        <v>512903</v>
      </c>
      <c r="E88" s="24" t="s">
        <v>373</v>
      </c>
      <c r="F88" s="24">
        <v>9699193686</v>
      </c>
      <c r="G88" s="24" t="s">
        <v>431</v>
      </c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5.75" hidden="1" customHeight="1" x14ac:dyDescent="0.25">
      <c r="A89" s="24" t="s">
        <v>421</v>
      </c>
      <c r="B89" s="24" t="s">
        <v>342</v>
      </c>
      <c r="C89" s="24" t="s">
        <v>342</v>
      </c>
      <c r="D89" s="24">
        <v>512903</v>
      </c>
      <c r="E89" s="24" t="s">
        <v>373</v>
      </c>
      <c r="F89" s="24">
        <v>9699193686</v>
      </c>
      <c r="G89" s="24" t="s">
        <v>432</v>
      </c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5.75" hidden="1" customHeight="1" x14ac:dyDescent="0.25">
      <c r="A90" s="24" t="s">
        <v>421</v>
      </c>
      <c r="B90" s="24" t="s">
        <v>344</v>
      </c>
      <c r="C90" s="24" t="s">
        <v>345</v>
      </c>
      <c r="D90" s="24">
        <v>512985</v>
      </c>
      <c r="E90" s="24" t="s">
        <v>373</v>
      </c>
      <c r="F90" s="24">
        <v>9699193686</v>
      </c>
      <c r="G90" s="24" t="s">
        <v>433</v>
      </c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5.75" hidden="1" customHeight="1" x14ac:dyDescent="0.25">
      <c r="A91" s="24" t="s">
        <v>421</v>
      </c>
      <c r="B91" s="24" t="s">
        <v>434</v>
      </c>
      <c r="C91" s="24" t="s">
        <v>348</v>
      </c>
      <c r="D91" s="24">
        <v>512884</v>
      </c>
      <c r="E91" s="24" t="s">
        <v>373</v>
      </c>
      <c r="F91" s="24">
        <v>9699193686</v>
      </c>
      <c r="G91" s="24" t="s">
        <v>435</v>
      </c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5.75" hidden="1" customHeight="1" x14ac:dyDescent="0.25">
      <c r="A92" s="24" t="s">
        <v>421</v>
      </c>
      <c r="B92" s="25" t="s">
        <v>350</v>
      </c>
      <c r="C92" s="25" t="s">
        <v>351</v>
      </c>
      <c r="D92" s="25">
        <v>512902</v>
      </c>
      <c r="E92" s="24" t="s">
        <v>373</v>
      </c>
      <c r="F92" s="25">
        <v>9699193686</v>
      </c>
      <c r="G92" s="24" t="s">
        <v>436</v>
      </c>
    </row>
    <row r="93" spans="1:26" ht="15.75" hidden="1" customHeight="1" x14ac:dyDescent="0.25">
      <c r="A93" s="24" t="s">
        <v>421</v>
      </c>
      <c r="B93" s="24" t="s">
        <v>353</v>
      </c>
      <c r="C93" s="24" t="s">
        <v>353</v>
      </c>
      <c r="D93" s="24">
        <v>512885</v>
      </c>
      <c r="E93" s="24" t="s">
        <v>373</v>
      </c>
      <c r="F93" s="24">
        <v>9699193686</v>
      </c>
      <c r="G93" s="24" t="s">
        <v>437</v>
      </c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5.75" hidden="1" customHeight="1" x14ac:dyDescent="0.25">
      <c r="A94" s="24" t="s">
        <v>438</v>
      </c>
      <c r="B94" s="24" t="s">
        <v>313</v>
      </c>
      <c r="C94" s="24" t="s">
        <v>314</v>
      </c>
      <c r="D94" s="24">
        <v>612105</v>
      </c>
      <c r="E94" s="24" t="s">
        <v>373</v>
      </c>
      <c r="F94" s="24">
        <v>9699193686</v>
      </c>
      <c r="G94" s="24" t="s">
        <v>439</v>
      </c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5.75" hidden="1" customHeight="1" x14ac:dyDescent="0.25">
      <c r="A95" s="24" t="s">
        <v>438</v>
      </c>
      <c r="B95" s="24" t="s">
        <v>317</v>
      </c>
      <c r="C95" s="24" t="s">
        <v>318</v>
      </c>
      <c r="D95" s="24">
        <v>612105</v>
      </c>
      <c r="E95" s="24" t="s">
        <v>373</v>
      </c>
      <c r="F95" s="24">
        <v>9699193686</v>
      </c>
      <c r="G95" s="24" t="s">
        <v>440</v>
      </c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5.75" hidden="1" customHeight="1" x14ac:dyDescent="0.25">
      <c r="A96" s="24" t="s">
        <v>438</v>
      </c>
      <c r="B96" s="24" t="s">
        <v>320</v>
      </c>
      <c r="C96" s="24" t="s">
        <v>320</v>
      </c>
      <c r="D96" s="24">
        <v>611128</v>
      </c>
      <c r="E96" s="24" t="s">
        <v>373</v>
      </c>
      <c r="F96" s="24">
        <v>9699193686</v>
      </c>
      <c r="G96" s="24" t="s">
        <v>441</v>
      </c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5.75" hidden="1" customHeight="1" x14ac:dyDescent="0.25">
      <c r="A97" s="24" t="s">
        <v>438</v>
      </c>
      <c r="B97" s="24" t="s">
        <v>322</v>
      </c>
      <c r="C97" s="24" t="s">
        <v>322</v>
      </c>
      <c r="D97" s="24">
        <v>611129</v>
      </c>
      <c r="E97" s="24" t="s">
        <v>373</v>
      </c>
      <c r="F97" s="24">
        <v>9699193686</v>
      </c>
      <c r="G97" s="24" t="s">
        <v>442</v>
      </c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5.75" hidden="1" customHeight="1" x14ac:dyDescent="0.25">
      <c r="A98" s="24" t="s">
        <v>438</v>
      </c>
      <c r="B98" s="24" t="s">
        <v>324</v>
      </c>
      <c r="C98" s="24" t="s">
        <v>324</v>
      </c>
      <c r="D98" s="24">
        <v>512904</v>
      </c>
      <c r="E98" s="24" t="s">
        <v>373</v>
      </c>
      <c r="F98" s="24">
        <v>9699193686</v>
      </c>
      <c r="G98" s="24" t="s">
        <v>443</v>
      </c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5.75" hidden="1" customHeight="1" x14ac:dyDescent="0.25">
      <c r="A99" s="24" t="s">
        <v>438</v>
      </c>
      <c r="B99" s="24" t="s">
        <v>332</v>
      </c>
      <c r="C99" s="24" t="s">
        <v>330</v>
      </c>
      <c r="D99" s="24">
        <v>611129</v>
      </c>
      <c r="E99" s="24" t="s">
        <v>373</v>
      </c>
      <c r="F99" s="24">
        <v>9699193686</v>
      </c>
      <c r="G99" s="24" t="s">
        <v>444</v>
      </c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5.75" hidden="1" customHeight="1" x14ac:dyDescent="0.25">
      <c r="A100" s="24" t="s">
        <v>438</v>
      </c>
      <c r="B100" s="24" t="s">
        <v>333</v>
      </c>
      <c r="C100" s="24" t="s">
        <v>334</v>
      </c>
      <c r="D100" s="24">
        <v>612106</v>
      </c>
      <c r="E100" s="24" t="s">
        <v>373</v>
      </c>
      <c r="F100" s="24">
        <v>9699193686</v>
      </c>
      <c r="G100" s="24" t="s">
        <v>445</v>
      </c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  <row r="101" spans="1:26" ht="15.75" hidden="1" customHeight="1" x14ac:dyDescent="0.25">
      <c r="A101" s="24" t="s">
        <v>438</v>
      </c>
      <c r="B101" s="24" t="s">
        <v>336</v>
      </c>
      <c r="C101" s="24" t="s">
        <v>336</v>
      </c>
      <c r="D101" s="24">
        <v>512883</v>
      </c>
      <c r="E101" s="24" t="s">
        <v>373</v>
      </c>
      <c r="F101" s="24">
        <v>9699193686</v>
      </c>
      <c r="G101" s="24" t="s">
        <v>446</v>
      </c>
      <c r="H101" s="4"/>
      <c r="I101" s="4"/>
      <c r="J101" s="4"/>
      <c r="K101" s="4"/>
      <c r="L101" s="4"/>
      <c r="M101" s="4"/>
      <c r="N101" s="4"/>
      <c r="O101" s="4"/>
      <c r="P101" s="4"/>
      <c r="Q101" s="4"/>
      <c r="R101" s="4"/>
      <c r="S101" s="4"/>
      <c r="T101" s="4"/>
      <c r="U101" s="4"/>
      <c r="V101" s="4"/>
      <c r="W101" s="4"/>
      <c r="X101" s="4"/>
      <c r="Y101" s="4"/>
      <c r="Z101" s="4"/>
    </row>
    <row r="102" spans="1:26" ht="15.75" hidden="1" customHeight="1" x14ac:dyDescent="0.25">
      <c r="A102" s="24" t="s">
        <v>438</v>
      </c>
      <c r="B102" s="24" t="s">
        <v>338</v>
      </c>
      <c r="C102" s="24" t="s">
        <v>338</v>
      </c>
      <c r="D102" s="24">
        <v>512908</v>
      </c>
      <c r="E102" s="24" t="s">
        <v>373</v>
      </c>
      <c r="F102" s="24">
        <v>9699193686</v>
      </c>
      <c r="G102" s="24" t="s">
        <v>447</v>
      </c>
      <c r="H102" s="4"/>
      <c r="I102" s="4"/>
      <c r="J102" s="4"/>
      <c r="K102" s="4"/>
      <c r="L102" s="4"/>
      <c r="M102" s="4"/>
      <c r="N102" s="4"/>
      <c r="O102" s="4"/>
      <c r="P102" s="4"/>
      <c r="Q102" s="4"/>
      <c r="R102" s="4"/>
      <c r="S102" s="4"/>
      <c r="T102" s="4"/>
      <c r="U102" s="4"/>
      <c r="V102" s="4"/>
      <c r="W102" s="4"/>
      <c r="X102" s="4"/>
      <c r="Y102" s="4"/>
      <c r="Z102" s="4"/>
    </row>
    <row r="103" spans="1:26" ht="15.75" hidden="1" customHeight="1" x14ac:dyDescent="0.25">
      <c r="A103" s="24" t="s">
        <v>438</v>
      </c>
      <c r="B103" s="24" t="s">
        <v>340</v>
      </c>
      <c r="C103" s="24" t="s">
        <v>340</v>
      </c>
      <c r="D103" s="24">
        <v>512903</v>
      </c>
      <c r="E103" s="24" t="s">
        <v>373</v>
      </c>
      <c r="F103" s="24">
        <v>9699193686</v>
      </c>
      <c r="G103" s="24" t="s">
        <v>448</v>
      </c>
      <c r="H103" s="4"/>
      <c r="I103" s="4"/>
      <c r="J103" s="4"/>
      <c r="K103" s="4"/>
      <c r="L103" s="4"/>
      <c r="M103" s="4"/>
      <c r="N103" s="4"/>
      <c r="O103" s="4"/>
      <c r="P103" s="4"/>
      <c r="Q103" s="4"/>
      <c r="R103" s="4"/>
      <c r="S103" s="4"/>
      <c r="T103" s="4"/>
      <c r="U103" s="4"/>
      <c r="V103" s="4"/>
      <c r="W103" s="4"/>
      <c r="X103" s="4"/>
      <c r="Y103" s="4"/>
      <c r="Z103" s="4"/>
    </row>
    <row r="104" spans="1:26" ht="15.75" hidden="1" customHeight="1" x14ac:dyDescent="0.25">
      <c r="A104" s="24" t="s">
        <v>438</v>
      </c>
      <c r="B104" s="24" t="s">
        <v>342</v>
      </c>
      <c r="C104" s="24" t="s">
        <v>342</v>
      </c>
      <c r="D104" s="24">
        <v>512903</v>
      </c>
      <c r="E104" s="24" t="s">
        <v>373</v>
      </c>
      <c r="F104" s="24">
        <v>9699193686</v>
      </c>
      <c r="G104" s="24" t="s">
        <v>449</v>
      </c>
      <c r="H104" s="4"/>
      <c r="I104" s="4"/>
      <c r="J104" s="4"/>
      <c r="K104" s="4"/>
      <c r="L104" s="4"/>
      <c r="M104" s="4"/>
      <c r="N104" s="4"/>
      <c r="O104" s="4"/>
      <c r="P104" s="4"/>
      <c r="Q104" s="4"/>
      <c r="R104" s="4"/>
      <c r="S104" s="4"/>
      <c r="T104" s="4"/>
      <c r="U104" s="4"/>
      <c r="V104" s="4"/>
      <c r="W104" s="4"/>
      <c r="X104" s="4"/>
      <c r="Y104" s="4"/>
      <c r="Z104" s="4"/>
    </row>
    <row r="105" spans="1:26" ht="15.75" hidden="1" customHeight="1" x14ac:dyDescent="0.25">
      <c r="A105" s="24" t="s">
        <v>438</v>
      </c>
      <c r="B105" s="24" t="s">
        <v>344</v>
      </c>
      <c r="C105" s="24" t="s">
        <v>345</v>
      </c>
      <c r="D105" s="24">
        <v>512985</v>
      </c>
      <c r="E105" s="24" t="s">
        <v>373</v>
      </c>
      <c r="F105" s="24">
        <v>9699193686</v>
      </c>
      <c r="G105" s="24" t="s">
        <v>450</v>
      </c>
      <c r="H105" s="4"/>
      <c r="I105" s="4"/>
      <c r="J105" s="4"/>
      <c r="K105" s="4"/>
      <c r="L105" s="4"/>
      <c r="M105" s="4"/>
      <c r="N105" s="4"/>
      <c r="O105" s="4"/>
      <c r="P105" s="4"/>
      <c r="Q105" s="4"/>
      <c r="R105" s="4"/>
      <c r="S105" s="4"/>
      <c r="T105" s="4"/>
      <c r="U105" s="4"/>
      <c r="V105" s="4"/>
      <c r="W105" s="4"/>
      <c r="X105" s="4"/>
      <c r="Y105" s="4"/>
      <c r="Z105" s="4"/>
    </row>
    <row r="106" spans="1:26" ht="15.75" hidden="1" customHeight="1" x14ac:dyDescent="0.25">
      <c r="A106" s="24" t="s">
        <v>438</v>
      </c>
      <c r="B106" s="24" t="s">
        <v>434</v>
      </c>
      <c r="C106" s="24" t="s">
        <v>348</v>
      </c>
      <c r="D106" s="24">
        <v>512884</v>
      </c>
      <c r="E106" s="24" t="s">
        <v>373</v>
      </c>
      <c r="F106" s="24">
        <v>9699193686</v>
      </c>
      <c r="G106" s="24" t="s">
        <v>451</v>
      </c>
      <c r="H106" s="4"/>
      <c r="I106" s="4"/>
      <c r="J106" s="4"/>
      <c r="K106" s="4"/>
      <c r="L106" s="4"/>
      <c r="M106" s="4"/>
      <c r="N106" s="4"/>
      <c r="O106" s="4"/>
      <c r="P106" s="4"/>
      <c r="Q106" s="4"/>
      <c r="R106" s="4"/>
      <c r="S106" s="4"/>
      <c r="T106" s="4"/>
      <c r="U106" s="4"/>
      <c r="V106" s="4"/>
      <c r="W106" s="4"/>
      <c r="X106" s="4"/>
      <c r="Y106" s="4"/>
      <c r="Z106" s="4"/>
    </row>
    <row r="107" spans="1:26" ht="15.75" hidden="1" customHeight="1" x14ac:dyDescent="0.25">
      <c r="A107" s="24" t="s">
        <v>438</v>
      </c>
      <c r="B107" s="24" t="s">
        <v>452</v>
      </c>
      <c r="C107" s="24" t="s">
        <v>453</v>
      </c>
      <c r="D107" s="24">
        <v>512916</v>
      </c>
      <c r="E107" s="24" t="s">
        <v>373</v>
      </c>
      <c r="F107" s="24">
        <v>9699193686</v>
      </c>
      <c r="G107" s="24" t="s">
        <v>454</v>
      </c>
      <c r="H107" s="4"/>
      <c r="I107" s="4"/>
      <c r="J107" s="4"/>
      <c r="K107" s="4"/>
      <c r="L107" s="4"/>
      <c r="M107" s="4"/>
      <c r="N107" s="4"/>
      <c r="O107" s="4"/>
      <c r="P107" s="4"/>
      <c r="Q107" s="4"/>
      <c r="R107" s="4"/>
      <c r="S107" s="4"/>
      <c r="T107" s="4"/>
      <c r="U107" s="4"/>
      <c r="V107" s="4"/>
      <c r="W107" s="4"/>
      <c r="X107" s="4"/>
      <c r="Y107" s="4"/>
      <c r="Z107" s="4"/>
    </row>
    <row r="108" spans="1:26" ht="15.75" hidden="1" customHeight="1" x14ac:dyDescent="0.25">
      <c r="A108" s="24" t="s">
        <v>438</v>
      </c>
      <c r="B108" s="24" t="s">
        <v>455</v>
      </c>
      <c r="C108" s="24" t="s">
        <v>453</v>
      </c>
      <c r="D108" s="24">
        <v>512916</v>
      </c>
      <c r="E108" s="24" t="s">
        <v>373</v>
      </c>
      <c r="F108" s="24">
        <v>9699193686</v>
      </c>
      <c r="G108" s="24" t="s">
        <v>454</v>
      </c>
      <c r="H108" s="4"/>
      <c r="I108" s="4"/>
      <c r="J108" s="4"/>
      <c r="K108" s="4"/>
      <c r="L108" s="4"/>
      <c r="M108" s="4"/>
      <c r="N108" s="4"/>
      <c r="O108" s="4"/>
      <c r="P108" s="4"/>
      <c r="Q108" s="4"/>
      <c r="R108" s="4"/>
      <c r="S108" s="4"/>
      <c r="T108" s="4"/>
      <c r="U108" s="4"/>
      <c r="V108" s="4"/>
      <c r="W108" s="4"/>
      <c r="X108" s="4"/>
      <c r="Y108" s="4"/>
      <c r="Z108" s="4"/>
    </row>
    <row r="109" spans="1:26" ht="15.75" hidden="1" customHeight="1" x14ac:dyDescent="0.25">
      <c r="A109" s="24" t="s">
        <v>438</v>
      </c>
      <c r="B109" s="24" t="s">
        <v>350</v>
      </c>
      <c r="C109" s="24" t="s">
        <v>351</v>
      </c>
      <c r="D109" s="24">
        <v>512902</v>
      </c>
      <c r="E109" s="24" t="s">
        <v>373</v>
      </c>
      <c r="F109" s="24">
        <v>9699193686</v>
      </c>
      <c r="G109" s="24" t="s">
        <v>456</v>
      </c>
      <c r="H109" s="4"/>
      <c r="I109" s="4"/>
      <c r="J109" s="4"/>
      <c r="K109" s="4"/>
      <c r="L109" s="4"/>
      <c r="M109" s="4"/>
      <c r="N109" s="4"/>
      <c r="O109" s="4"/>
      <c r="P109" s="4"/>
      <c r="Q109" s="4"/>
      <c r="R109" s="4"/>
      <c r="S109" s="4"/>
      <c r="T109" s="4"/>
      <c r="U109" s="4"/>
      <c r="V109" s="4"/>
      <c r="W109" s="4"/>
      <c r="X109" s="4"/>
      <c r="Y109" s="4"/>
      <c r="Z109" s="4"/>
    </row>
    <row r="110" spans="1:26" ht="15.75" hidden="1" customHeight="1" x14ac:dyDescent="0.25">
      <c r="A110" s="24" t="s">
        <v>438</v>
      </c>
      <c r="B110" s="24" t="s">
        <v>353</v>
      </c>
      <c r="C110" s="24" t="s">
        <v>353</v>
      </c>
      <c r="D110" s="24">
        <v>512885</v>
      </c>
      <c r="E110" s="24" t="s">
        <v>373</v>
      </c>
      <c r="F110" s="24">
        <v>9699193686</v>
      </c>
      <c r="G110" s="24" t="s">
        <v>457</v>
      </c>
      <c r="H110" s="4"/>
      <c r="I110" s="4"/>
      <c r="J110" s="4"/>
      <c r="K110" s="4"/>
      <c r="L110" s="4"/>
      <c r="M110" s="4"/>
      <c r="N110" s="4"/>
      <c r="O110" s="4"/>
      <c r="P110" s="4"/>
      <c r="Q110" s="4"/>
      <c r="R110" s="4"/>
      <c r="S110" s="4"/>
      <c r="T110" s="4"/>
      <c r="U110" s="4"/>
      <c r="V110" s="4"/>
      <c r="W110" s="4"/>
      <c r="X110" s="4"/>
      <c r="Y110" s="4"/>
      <c r="Z110" s="4"/>
    </row>
    <row r="111" spans="1:26" ht="15.75" hidden="1" customHeight="1" x14ac:dyDescent="0.25">
      <c r="A111" s="24" t="s">
        <v>458</v>
      </c>
      <c r="B111" s="24" t="s">
        <v>459</v>
      </c>
      <c r="C111" s="24" t="s">
        <v>460</v>
      </c>
      <c r="D111" s="24">
        <v>512903</v>
      </c>
      <c r="E111" s="24" t="s">
        <v>461</v>
      </c>
      <c r="F111" s="24">
        <v>9699193721</v>
      </c>
      <c r="G111" s="24" t="s">
        <v>462</v>
      </c>
    </row>
    <row r="112" spans="1:26" ht="15.75" hidden="1" customHeight="1" x14ac:dyDescent="0.25">
      <c r="A112" s="24" t="s">
        <v>458</v>
      </c>
      <c r="B112" s="24" t="s">
        <v>463</v>
      </c>
      <c r="C112" s="24" t="s">
        <v>464</v>
      </c>
      <c r="D112" s="24">
        <v>512903</v>
      </c>
      <c r="E112" s="24" t="s">
        <v>461</v>
      </c>
      <c r="F112" s="24">
        <v>9699193721</v>
      </c>
      <c r="G112" s="24" t="s">
        <v>465</v>
      </c>
      <c r="H112" s="4"/>
      <c r="I112" s="4"/>
      <c r="J112" s="4"/>
      <c r="K112" s="4"/>
      <c r="L112" s="4"/>
      <c r="M112" s="4"/>
      <c r="N112" s="4"/>
      <c r="O112" s="4"/>
      <c r="P112" s="4"/>
      <c r="Q112" s="4"/>
      <c r="R112" s="4"/>
      <c r="S112" s="4"/>
      <c r="T112" s="4"/>
      <c r="U112" s="4"/>
      <c r="V112" s="4"/>
      <c r="W112" s="4"/>
      <c r="X112" s="4"/>
      <c r="Y112" s="4"/>
      <c r="Z112" s="4"/>
    </row>
    <row r="113" spans="1:26" ht="15.75" hidden="1" customHeight="1" x14ac:dyDescent="0.25">
      <c r="A113" s="24" t="s">
        <v>458</v>
      </c>
      <c r="B113" s="24" t="s">
        <v>466</v>
      </c>
      <c r="C113" s="24" t="s">
        <v>467</v>
      </c>
      <c r="D113" s="24">
        <v>512903</v>
      </c>
      <c r="E113" s="24" t="s">
        <v>461</v>
      </c>
      <c r="F113" s="24">
        <v>9699193721</v>
      </c>
      <c r="G113" s="24" t="s">
        <v>468</v>
      </c>
    </row>
    <row r="114" spans="1:26" ht="15.75" hidden="1" customHeight="1" x14ac:dyDescent="0.25">
      <c r="A114" s="24" t="s">
        <v>458</v>
      </c>
      <c r="B114" s="24" t="s">
        <v>469</v>
      </c>
      <c r="C114" s="24" t="s">
        <v>470</v>
      </c>
      <c r="D114" s="24">
        <v>512901</v>
      </c>
      <c r="E114" s="24" t="s">
        <v>461</v>
      </c>
      <c r="F114" s="24">
        <v>9699193721</v>
      </c>
      <c r="G114" s="24" t="s">
        <v>471</v>
      </c>
    </row>
    <row r="115" spans="1:26" ht="15.75" hidden="1" customHeight="1" x14ac:dyDescent="0.25">
      <c r="A115" s="24" t="s">
        <v>458</v>
      </c>
      <c r="B115" s="24" t="s">
        <v>472</v>
      </c>
      <c r="C115" s="24" t="s">
        <v>473</v>
      </c>
      <c r="D115" s="24">
        <v>512985</v>
      </c>
      <c r="E115" s="24" t="s">
        <v>461</v>
      </c>
      <c r="F115" s="24">
        <v>9699193721</v>
      </c>
      <c r="G115" s="24" t="s">
        <v>474</v>
      </c>
      <c r="H115" s="4"/>
      <c r="I115" s="4"/>
      <c r="J115" s="4"/>
      <c r="K115" s="4"/>
      <c r="L115" s="4"/>
      <c r="M115" s="4"/>
      <c r="N115" s="4"/>
      <c r="O115" s="4"/>
      <c r="P115" s="4"/>
      <c r="Q115" s="4"/>
      <c r="R115" s="4"/>
      <c r="S115" s="4"/>
      <c r="T115" s="4"/>
      <c r="U115" s="4"/>
      <c r="V115" s="4"/>
      <c r="W115" s="4"/>
      <c r="X115" s="4"/>
      <c r="Y115" s="4"/>
      <c r="Z115" s="4"/>
    </row>
    <row r="116" spans="1:26" ht="15.75" hidden="1" customHeight="1" x14ac:dyDescent="0.25">
      <c r="A116" s="24" t="s">
        <v>458</v>
      </c>
      <c r="B116" s="24" t="s">
        <v>475</v>
      </c>
      <c r="C116" s="24" t="s">
        <v>475</v>
      </c>
      <c r="D116" s="24">
        <v>512883</v>
      </c>
      <c r="E116" s="24" t="s">
        <v>461</v>
      </c>
      <c r="F116" s="24">
        <v>9699193721</v>
      </c>
      <c r="G116" s="24" t="s">
        <v>476</v>
      </c>
    </row>
    <row r="117" spans="1:26" ht="15.75" hidden="1" customHeight="1" x14ac:dyDescent="0.25">
      <c r="A117" s="24" t="s">
        <v>458</v>
      </c>
      <c r="B117" s="24" t="s">
        <v>477</v>
      </c>
      <c r="C117" s="24" t="s">
        <v>478</v>
      </c>
      <c r="D117" s="24">
        <v>512901</v>
      </c>
      <c r="E117" s="24" t="s">
        <v>461</v>
      </c>
      <c r="F117" s="24">
        <v>9699193721</v>
      </c>
      <c r="G117" s="24" t="s">
        <v>479</v>
      </c>
    </row>
    <row r="118" spans="1:26" ht="15.75" hidden="1" customHeight="1" x14ac:dyDescent="0.25">
      <c r="A118" s="24" t="s">
        <v>458</v>
      </c>
      <c r="B118" s="24" t="s">
        <v>480</v>
      </c>
      <c r="C118" s="24" t="s">
        <v>481</v>
      </c>
      <c r="D118" s="24">
        <v>512916</v>
      </c>
      <c r="E118" s="24" t="s">
        <v>461</v>
      </c>
      <c r="F118" s="24">
        <v>9699193721</v>
      </c>
      <c r="G118" s="24" t="s">
        <v>482</v>
      </c>
    </row>
    <row r="119" spans="1:26" ht="15.75" hidden="1" customHeight="1" x14ac:dyDescent="0.25">
      <c r="A119" s="24" t="s">
        <v>458</v>
      </c>
      <c r="B119" s="24" t="s">
        <v>483</v>
      </c>
      <c r="C119" s="24" t="s">
        <v>484</v>
      </c>
      <c r="D119" s="24">
        <v>512915</v>
      </c>
      <c r="E119" s="24" t="s">
        <v>461</v>
      </c>
      <c r="F119" s="24">
        <v>9699193721</v>
      </c>
      <c r="G119" s="24" t="s">
        <v>485</v>
      </c>
    </row>
    <row r="120" spans="1:26" ht="15.75" hidden="1" customHeight="1" x14ac:dyDescent="0.25">
      <c r="A120" s="24" t="s">
        <v>458</v>
      </c>
      <c r="B120" s="24" t="s">
        <v>486</v>
      </c>
      <c r="C120" s="24" t="s">
        <v>484</v>
      </c>
      <c r="D120" s="24">
        <v>512915</v>
      </c>
      <c r="E120" s="24" t="s">
        <v>461</v>
      </c>
      <c r="F120" s="24">
        <v>9699193721</v>
      </c>
      <c r="G120" s="24" t="s">
        <v>485</v>
      </c>
    </row>
    <row r="121" spans="1:26" ht="15.75" hidden="1" customHeight="1" x14ac:dyDescent="0.25">
      <c r="A121" s="24" t="s">
        <v>458</v>
      </c>
      <c r="B121" s="24" t="s">
        <v>487</v>
      </c>
      <c r="C121" s="24" t="s">
        <v>488</v>
      </c>
      <c r="D121" s="24">
        <v>512907</v>
      </c>
      <c r="E121" s="24" t="s">
        <v>461</v>
      </c>
      <c r="F121" s="24">
        <v>9699193721</v>
      </c>
      <c r="G121" s="24" t="s">
        <v>489</v>
      </c>
    </row>
    <row r="122" spans="1:26" ht="15.75" hidden="1" customHeight="1" x14ac:dyDescent="0.25">
      <c r="A122" s="24" t="s">
        <v>490</v>
      </c>
      <c r="B122" s="24" t="s">
        <v>459</v>
      </c>
      <c r="C122" s="24" t="s">
        <v>460</v>
      </c>
      <c r="D122" s="25">
        <v>512903</v>
      </c>
      <c r="E122" s="25" t="s">
        <v>491</v>
      </c>
      <c r="F122" s="25">
        <v>9699193721</v>
      </c>
      <c r="G122" s="24" t="s">
        <v>492</v>
      </c>
      <c r="H122" s="4"/>
      <c r="I122" s="4"/>
      <c r="J122" s="4"/>
      <c r="K122" s="4"/>
      <c r="L122" s="4"/>
      <c r="M122" s="4"/>
      <c r="N122" s="4"/>
      <c r="O122" s="4"/>
      <c r="P122" s="4"/>
      <c r="Q122" s="4"/>
      <c r="R122" s="4"/>
      <c r="S122" s="4"/>
      <c r="T122" s="4"/>
      <c r="U122" s="4"/>
      <c r="V122" s="4"/>
      <c r="W122" s="4"/>
      <c r="X122" s="4"/>
      <c r="Y122" s="4"/>
      <c r="Z122" s="4"/>
    </row>
    <row r="123" spans="1:26" ht="15.75" hidden="1" customHeight="1" x14ac:dyDescent="0.25">
      <c r="A123" s="24" t="s">
        <v>490</v>
      </c>
      <c r="B123" s="24" t="s">
        <v>463</v>
      </c>
      <c r="C123" s="24" t="s">
        <v>464</v>
      </c>
      <c r="D123" s="25">
        <v>512903</v>
      </c>
      <c r="E123" s="25" t="s">
        <v>491</v>
      </c>
      <c r="F123" s="25">
        <v>9699193721</v>
      </c>
      <c r="G123" s="24" t="s">
        <v>493</v>
      </c>
    </row>
    <row r="124" spans="1:26" ht="15.75" hidden="1" customHeight="1" x14ac:dyDescent="0.25">
      <c r="A124" s="24" t="s">
        <v>490</v>
      </c>
      <c r="B124" s="24" t="s">
        <v>466</v>
      </c>
      <c r="C124" s="24" t="s">
        <v>467</v>
      </c>
      <c r="D124" s="25">
        <v>512903</v>
      </c>
      <c r="E124" s="25" t="s">
        <v>491</v>
      </c>
      <c r="F124" s="25">
        <v>9699193721</v>
      </c>
      <c r="G124" s="24" t="s">
        <v>494</v>
      </c>
    </row>
    <row r="125" spans="1:26" ht="15.75" hidden="1" customHeight="1" x14ac:dyDescent="0.25">
      <c r="A125" s="24" t="s">
        <v>490</v>
      </c>
      <c r="B125" s="24" t="s">
        <v>469</v>
      </c>
      <c r="C125" s="24" t="s">
        <v>470</v>
      </c>
      <c r="D125" s="25">
        <v>512901</v>
      </c>
      <c r="E125" s="25" t="s">
        <v>491</v>
      </c>
      <c r="F125" s="25">
        <v>9699193721</v>
      </c>
      <c r="G125" s="24" t="s">
        <v>495</v>
      </c>
      <c r="H125" s="4"/>
      <c r="I125" s="4"/>
      <c r="J125" s="4"/>
      <c r="K125" s="4"/>
      <c r="L125" s="4"/>
      <c r="M125" s="4"/>
      <c r="N125" s="4"/>
      <c r="O125" s="4"/>
      <c r="P125" s="4"/>
      <c r="Q125" s="4"/>
      <c r="R125" s="4"/>
      <c r="S125" s="4"/>
      <c r="T125" s="4"/>
      <c r="U125" s="4"/>
      <c r="V125" s="4"/>
      <c r="W125" s="4"/>
      <c r="X125" s="4"/>
      <c r="Y125" s="4"/>
      <c r="Z125" s="4"/>
    </row>
    <row r="126" spans="1:26" ht="15.75" hidden="1" customHeight="1" x14ac:dyDescent="0.25">
      <c r="A126" s="24" t="s">
        <v>490</v>
      </c>
      <c r="B126" s="24" t="s">
        <v>480</v>
      </c>
      <c r="C126" s="24" t="s">
        <v>481</v>
      </c>
      <c r="D126" s="24">
        <v>512916</v>
      </c>
      <c r="E126" s="24" t="s">
        <v>491</v>
      </c>
      <c r="F126" s="24">
        <v>9699193721</v>
      </c>
      <c r="G126" s="24" t="s">
        <v>496</v>
      </c>
    </row>
    <row r="127" spans="1:26" ht="15.75" hidden="1" customHeight="1" x14ac:dyDescent="0.25">
      <c r="A127" s="24" t="s">
        <v>490</v>
      </c>
      <c r="B127" s="24" t="s">
        <v>483</v>
      </c>
      <c r="C127" s="24" t="s">
        <v>484</v>
      </c>
      <c r="D127" s="24">
        <v>512915</v>
      </c>
      <c r="E127" s="24" t="s">
        <v>491</v>
      </c>
      <c r="F127" s="24">
        <v>9699193721</v>
      </c>
      <c r="G127" s="24" t="s">
        <v>497</v>
      </c>
    </row>
    <row r="128" spans="1:26" ht="15.75" hidden="1" customHeight="1" x14ac:dyDescent="0.25">
      <c r="A128" s="24" t="s">
        <v>490</v>
      </c>
      <c r="B128" s="24" t="s">
        <v>486</v>
      </c>
      <c r="C128" s="24" t="s">
        <v>484</v>
      </c>
      <c r="D128" s="24">
        <v>512915</v>
      </c>
      <c r="E128" s="24" t="s">
        <v>491</v>
      </c>
      <c r="F128" s="24">
        <v>9699193721</v>
      </c>
      <c r="G128" s="24" t="s">
        <v>497</v>
      </c>
    </row>
    <row r="129" spans="1:26" ht="15.75" hidden="1" customHeight="1" x14ac:dyDescent="0.25">
      <c r="A129" s="24" t="s">
        <v>490</v>
      </c>
      <c r="B129" s="24" t="s">
        <v>487</v>
      </c>
      <c r="C129" s="24" t="s">
        <v>488</v>
      </c>
      <c r="D129" s="24">
        <v>512907</v>
      </c>
      <c r="E129" s="24" t="s">
        <v>491</v>
      </c>
      <c r="F129" s="24">
        <v>9699193721</v>
      </c>
      <c r="G129" s="24" t="s">
        <v>498</v>
      </c>
    </row>
    <row r="130" spans="1:26" ht="15.75" hidden="1" customHeight="1" x14ac:dyDescent="0.25">
      <c r="A130" s="24" t="s">
        <v>490</v>
      </c>
      <c r="B130" s="24" t="s">
        <v>477</v>
      </c>
      <c r="C130" s="24" t="s">
        <v>478</v>
      </c>
      <c r="D130" s="24">
        <v>512901</v>
      </c>
      <c r="E130" s="24" t="s">
        <v>491</v>
      </c>
      <c r="F130" s="24">
        <v>9699193721</v>
      </c>
      <c r="G130" s="24" t="s">
        <v>499</v>
      </c>
    </row>
    <row r="131" spans="1:26" ht="15.75" hidden="1" customHeight="1" x14ac:dyDescent="0.25">
      <c r="A131" s="24" t="s">
        <v>490</v>
      </c>
      <c r="B131" s="24" t="s">
        <v>472</v>
      </c>
      <c r="C131" s="24" t="s">
        <v>473</v>
      </c>
      <c r="D131" s="24">
        <v>512985</v>
      </c>
      <c r="E131" s="24" t="s">
        <v>491</v>
      </c>
      <c r="F131" s="24">
        <v>9699193721</v>
      </c>
      <c r="G131" s="24" t="s">
        <v>500</v>
      </c>
    </row>
    <row r="132" spans="1:26" ht="15.75" hidden="1" customHeight="1" x14ac:dyDescent="0.25">
      <c r="A132" s="25" t="s">
        <v>501</v>
      </c>
      <c r="B132" s="24" t="s">
        <v>459</v>
      </c>
      <c r="C132" s="24" t="s">
        <v>460</v>
      </c>
      <c r="D132" s="25">
        <v>512903</v>
      </c>
      <c r="E132" s="25" t="s">
        <v>491</v>
      </c>
      <c r="F132" s="24">
        <v>9699193721</v>
      </c>
      <c r="G132" s="24" t="s">
        <v>502</v>
      </c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S132" s="4"/>
      <c r="T132" s="4"/>
      <c r="U132" s="4"/>
      <c r="V132" s="4"/>
      <c r="W132" s="4"/>
      <c r="X132" s="4"/>
      <c r="Y132" s="4"/>
      <c r="Z132" s="4"/>
    </row>
    <row r="133" spans="1:26" ht="15.75" hidden="1" customHeight="1" x14ac:dyDescent="0.25">
      <c r="A133" s="25" t="s">
        <v>501</v>
      </c>
      <c r="B133" s="24" t="s">
        <v>463</v>
      </c>
      <c r="C133" s="24" t="s">
        <v>464</v>
      </c>
      <c r="D133" s="25">
        <v>512903</v>
      </c>
      <c r="E133" s="25" t="s">
        <v>491</v>
      </c>
      <c r="F133" s="24">
        <v>9699193721</v>
      </c>
      <c r="G133" s="24" t="s">
        <v>503</v>
      </c>
    </row>
    <row r="134" spans="1:26" ht="15.75" hidden="1" customHeight="1" x14ac:dyDescent="0.25">
      <c r="A134" s="25" t="s">
        <v>501</v>
      </c>
      <c r="B134" s="24" t="s">
        <v>466</v>
      </c>
      <c r="C134" s="24" t="s">
        <v>467</v>
      </c>
      <c r="D134" s="25">
        <v>512903</v>
      </c>
      <c r="E134" s="25" t="s">
        <v>491</v>
      </c>
      <c r="F134" s="24">
        <v>9699193721</v>
      </c>
      <c r="G134" s="24" t="s">
        <v>504</v>
      </c>
    </row>
    <row r="135" spans="1:26" ht="15.75" hidden="1" customHeight="1" x14ac:dyDescent="0.25">
      <c r="A135" s="25" t="s">
        <v>501</v>
      </c>
      <c r="B135" s="24" t="s">
        <v>469</v>
      </c>
      <c r="C135" s="24" t="s">
        <v>470</v>
      </c>
      <c r="D135" s="25">
        <v>512901</v>
      </c>
      <c r="E135" s="25" t="s">
        <v>491</v>
      </c>
      <c r="F135" s="24">
        <v>9699193721</v>
      </c>
      <c r="G135" s="24" t="s">
        <v>505</v>
      </c>
      <c r="H135" s="4"/>
      <c r="I135" s="4"/>
      <c r="J135" s="4"/>
      <c r="K135" s="4"/>
      <c r="L135" s="4"/>
      <c r="M135" s="4"/>
      <c r="N135" s="4"/>
      <c r="O135" s="4"/>
      <c r="P135" s="4"/>
      <c r="Q135" s="4"/>
      <c r="R135" s="4"/>
      <c r="S135" s="4"/>
      <c r="T135" s="4"/>
      <c r="U135" s="4"/>
      <c r="V135" s="4"/>
      <c r="W135" s="4"/>
      <c r="X135" s="4"/>
      <c r="Y135" s="4"/>
      <c r="Z135" s="4"/>
    </row>
    <row r="136" spans="1:26" ht="15.75" hidden="1" customHeight="1" x14ac:dyDescent="0.25">
      <c r="A136" s="25" t="s">
        <v>501</v>
      </c>
      <c r="B136" s="24" t="s">
        <v>480</v>
      </c>
      <c r="C136" s="24" t="s">
        <v>481</v>
      </c>
      <c r="D136" s="24">
        <v>512916</v>
      </c>
      <c r="E136" s="24" t="s">
        <v>491</v>
      </c>
      <c r="F136" s="24">
        <v>9699193721</v>
      </c>
      <c r="G136" s="24" t="s">
        <v>506</v>
      </c>
    </row>
    <row r="137" spans="1:26" ht="15.75" hidden="1" customHeight="1" x14ac:dyDescent="0.25">
      <c r="A137" s="24" t="s">
        <v>501</v>
      </c>
      <c r="B137" s="24" t="s">
        <v>483</v>
      </c>
      <c r="C137" s="24" t="s">
        <v>484</v>
      </c>
      <c r="D137" s="24">
        <v>512915</v>
      </c>
      <c r="E137" s="24" t="s">
        <v>491</v>
      </c>
      <c r="F137" s="24">
        <v>9699193721</v>
      </c>
      <c r="G137" s="24" t="s">
        <v>507</v>
      </c>
    </row>
    <row r="138" spans="1:26" ht="15.75" hidden="1" customHeight="1" x14ac:dyDescent="0.25">
      <c r="A138" s="25" t="s">
        <v>501</v>
      </c>
      <c r="B138" s="24" t="s">
        <v>486</v>
      </c>
      <c r="C138" s="24" t="s">
        <v>484</v>
      </c>
      <c r="D138" s="24">
        <v>512915</v>
      </c>
      <c r="E138" s="24" t="s">
        <v>491</v>
      </c>
      <c r="F138" s="24">
        <v>9699193721</v>
      </c>
      <c r="G138" s="24" t="s">
        <v>507</v>
      </c>
    </row>
    <row r="139" spans="1:26" ht="15.75" hidden="1" customHeight="1" x14ac:dyDescent="0.25">
      <c r="A139" s="25" t="s">
        <v>501</v>
      </c>
      <c r="B139" s="24" t="s">
        <v>487</v>
      </c>
      <c r="C139" s="24" t="s">
        <v>488</v>
      </c>
      <c r="D139" s="24">
        <v>512907</v>
      </c>
      <c r="E139" s="24" t="s">
        <v>491</v>
      </c>
      <c r="F139" s="24">
        <v>9699193721</v>
      </c>
      <c r="G139" s="24" t="s">
        <v>508</v>
      </c>
      <c r="H139" s="4"/>
      <c r="I139" s="4"/>
      <c r="J139" s="4"/>
      <c r="K139" s="4"/>
      <c r="L139" s="4"/>
      <c r="M139" s="4"/>
      <c r="N139" s="4"/>
      <c r="O139" s="4"/>
      <c r="P139" s="4"/>
      <c r="Q139" s="4"/>
      <c r="R139" s="4"/>
      <c r="S139" s="4"/>
      <c r="T139" s="4"/>
      <c r="U139" s="4"/>
      <c r="V139" s="4"/>
      <c r="W139" s="4"/>
      <c r="X139" s="4"/>
      <c r="Y139" s="4"/>
      <c r="Z139" s="4"/>
    </row>
    <row r="140" spans="1:26" ht="15.75" hidden="1" customHeight="1" x14ac:dyDescent="0.25">
      <c r="A140" s="24" t="s">
        <v>501</v>
      </c>
      <c r="B140" s="24" t="s">
        <v>477</v>
      </c>
      <c r="C140" s="24" t="s">
        <v>478</v>
      </c>
      <c r="D140" s="24">
        <v>512901</v>
      </c>
      <c r="E140" s="24" t="s">
        <v>491</v>
      </c>
      <c r="F140" s="24">
        <v>9699193721</v>
      </c>
      <c r="G140" s="24" t="s">
        <v>509</v>
      </c>
    </row>
    <row r="141" spans="1:26" ht="15.75" hidden="1" customHeight="1" x14ac:dyDescent="0.25">
      <c r="A141" s="25" t="s">
        <v>501</v>
      </c>
      <c r="B141" s="24" t="s">
        <v>472</v>
      </c>
      <c r="C141" s="24" t="s">
        <v>473</v>
      </c>
      <c r="D141" s="24">
        <v>512985</v>
      </c>
      <c r="E141" s="24" t="s">
        <v>491</v>
      </c>
      <c r="F141" s="24">
        <v>9699193721</v>
      </c>
      <c r="G141" s="24" t="s">
        <v>510</v>
      </c>
    </row>
    <row r="142" spans="1:26" ht="15.75" hidden="1" customHeight="1" x14ac:dyDescent="0.25">
      <c r="A142" s="24" t="s">
        <v>511</v>
      </c>
      <c r="B142" s="25" t="s">
        <v>469</v>
      </c>
      <c r="C142" s="25" t="s">
        <v>470</v>
      </c>
      <c r="D142" s="25">
        <v>512901</v>
      </c>
      <c r="E142" s="25" t="s">
        <v>491</v>
      </c>
      <c r="F142" s="25">
        <v>9699193721</v>
      </c>
      <c r="G142" s="24" t="s">
        <v>512</v>
      </c>
    </row>
    <row r="143" spans="1:26" ht="15.75" hidden="1" customHeight="1" x14ac:dyDescent="0.25">
      <c r="A143" s="24" t="s">
        <v>511</v>
      </c>
      <c r="B143" s="24" t="s">
        <v>459</v>
      </c>
      <c r="C143" s="24" t="s">
        <v>460</v>
      </c>
      <c r="D143" s="25">
        <v>512903</v>
      </c>
      <c r="E143" s="25" t="s">
        <v>491</v>
      </c>
      <c r="F143" s="25">
        <v>9699193721</v>
      </c>
      <c r="G143" s="24" t="s">
        <v>513</v>
      </c>
    </row>
    <row r="144" spans="1:26" ht="15.75" hidden="1" customHeight="1" x14ac:dyDescent="0.25">
      <c r="A144" s="24" t="s">
        <v>511</v>
      </c>
      <c r="B144" s="24" t="s">
        <v>463</v>
      </c>
      <c r="C144" s="24" t="s">
        <v>464</v>
      </c>
      <c r="D144" s="25">
        <v>512903</v>
      </c>
      <c r="E144" s="25" t="s">
        <v>491</v>
      </c>
      <c r="F144" s="25">
        <v>9699193721</v>
      </c>
      <c r="G144" s="24" t="s">
        <v>514</v>
      </c>
    </row>
    <row r="145" spans="1:26" ht="15.75" hidden="1" customHeight="1" x14ac:dyDescent="0.25">
      <c r="A145" s="24" t="s">
        <v>511</v>
      </c>
      <c r="B145" s="24" t="s">
        <v>466</v>
      </c>
      <c r="C145" s="24" t="s">
        <v>467</v>
      </c>
      <c r="D145" s="25">
        <v>512903</v>
      </c>
      <c r="E145" s="25" t="s">
        <v>491</v>
      </c>
      <c r="F145" s="25">
        <v>9699193721</v>
      </c>
      <c r="G145" s="24" t="s">
        <v>515</v>
      </c>
    </row>
    <row r="146" spans="1:26" ht="15.75" hidden="1" customHeight="1" x14ac:dyDescent="0.25">
      <c r="A146" s="24" t="s">
        <v>511</v>
      </c>
      <c r="B146" s="24" t="s">
        <v>480</v>
      </c>
      <c r="C146" s="24" t="s">
        <v>481</v>
      </c>
      <c r="D146" s="24">
        <v>512916</v>
      </c>
      <c r="E146" s="25" t="s">
        <v>491</v>
      </c>
      <c r="F146" s="25">
        <v>9699193721</v>
      </c>
      <c r="G146" s="24" t="s">
        <v>516</v>
      </c>
    </row>
    <row r="147" spans="1:26" ht="15.75" hidden="1" customHeight="1" x14ac:dyDescent="0.25">
      <c r="A147" s="24" t="s">
        <v>511</v>
      </c>
      <c r="B147" s="24" t="s">
        <v>483</v>
      </c>
      <c r="C147" s="24" t="s">
        <v>484</v>
      </c>
      <c r="D147" s="24">
        <v>512915</v>
      </c>
      <c r="E147" s="24" t="s">
        <v>491</v>
      </c>
      <c r="F147" s="24">
        <v>9699193721</v>
      </c>
      <c r="G147" s="24" t="s">
        <v>517</v>
      </c>
    </row>
    <row r="148" spans="1:26" ht="15.75" hidden="1" customHeight="1" x14ac:dyDescent="0.25">
      <c r="A148" s="24" t="s">
        <v>511</v>
      </c>
      <c r="B148" s="24" t="s">
        <v>486</v>
      </c>
      <c r="C148" s="24" t="s">
        <v>484</v>
      </c>
      <c r="D148" s="24">
        <v>512915</v>
      </c>
      <c r="E148" s="25" t="s">
        <v>491</v>
      </c>
      <c r="F148" s="25">
        <v>9699193721</v>
      </c>
      <c r="G148" s="24" t="s">
        <v>517</v>
      </c>
    </row>
    <row r="149" spans="1:26" ht="15.75" hidden="1" customHeight="1" x14ac:dyDescent="0.25">
      <c r="A149" s="24" t="s">
        <v>511</v>
      </c>
      <c r="B149" s="24" t="s">
        <v>487</v>
      </c>
      <c r="C149" s="24" t="s">
        <v>488</v>
      </c>
      <c r="D149" s="24">
        <v>512907</v>
      </c>
      <c r="E149" s="25" t="s">
        <v>491</v>
      </c>
      <c r="F149" s="25">
        <v>9699193721</v>
      </c>
      <c r="G149" s="24" t="s">
        <v>518</v>
      </c>
      <c r="H149" s="4"/>
      <c r="I149" s="4"/>
      <c r="J149" s="4"/>
      <c r="K149" s="4"/>
      <c r="L149" s="4"/>
      <c r="M149" s="4"/>
      <c r="N149" s="4"/>
      <c r="O149" s="4"/>
      <c r="P149" s="4"/>
      <c r="Q149" s="4"/>
      <c r="R149" s="4"/>
      <c r="S149" s="4"/>
      <c r="T149" s="4"/>
      <c r="U149" s="4"/>
      <c r="V149" s="4"/>
      <c r="W149" s="4"/>
      <c r="X149" s="4"/>
      <c r="Y149" s="4"/>
      <c r="Z149" s="4"/>
    </row>
    <row r="150" spans="1:26" ht="15.75" hidden="1" customHeight="1" x14ac:dyDescent="0.25">
      <c r="A150" s="24" t="s">
        <v>511</v>
      </c>
      <c r="B150" s="24" t="s">
        <v>472</v>
      </c>
      <c r="C150" s="24" t="s">
        <v>473</v>
      </c>
      <c r="D150" s="24">
        <v>512985</v>
      </c>
      <c r="E150" s="24" t="s">
        <v>491</v>
      </c>
      <c r="F150" s="24">
        <v>9699193721</v>
      </c>
      <c r="G150" s="24" t="s">
        <v>519</v>
      </c>
    </row>
    <row r="151" spans="1:26" ht="15.75" hidden="1" customHeight="1" x14ac:dyDescent="0.25">
      <c r="A151" s="24" t="s">
        <v>511</v>
      </c>
      <c r="B151" s="24" t="s">
        <v>477</v>
      </c>
      <c r="C151" s="24" t="s">
        <v>478</v>
      </c>
      <c r="D151" s="24">
        <v>512901</v>
      </c>
      <c r="E151" s="25" t="s">
        <v>491</v>
      </c>
      <c r="F151" s="25">
        <v>9699193721</v>
      </c>
      <c r="G151" s="24" t="s">
        <v>520</v>
      </c>
    </row>
    <row r="152" spans="1:26" ht="15.75" hidden="1" customHeight="1" x14ac:dyDescent="0.25">
      <c r="A152" s="25" t="s">
        <v>521</v>
      </c>
      <c r="B152" s="25" t="s">
        <v>469</v>
      </c>
      <c r="C152" s="25" t="s">
        <v>470</v>
      </c>
      <c r="D152" s="25">
        <v>512901</v>
      </c>
      <c r="E152" s="25" t="s">
        <v>522</v>
      </c>
      <c r="F152" s="25">
        <v>9699193721</v>
      </c>
      <c r="G152" s="24" t="s">
        <v>523</v>
      </c>
      <c r="H152" s="4"/>
      <c r="I152" s="4"/>
      <c r="J152" s="4"/>
      <c r="K152" s="4"/>
      <c r="L152" s="4"/>
      <c r="M152" s="4"/>
      <c r="N152" s="4"/>
      <c r="O152" s="4"/>
      <c r="P152" s="4"/>
      <c r="Q152" s="4"/>
      <c r="R152" s="4"/>
      <c r="S152" s="4"/>
      <c r="T152" s="4"/>
      <c r="U152" s="4"/>
      <c r="V152" s="4"/>
      <c r="W152" s="4"/>
      <c r="X152" s="4"/>
      <c r="Y152" s="4"/>
      <c r="Z152" s="4"/>
    </row>
    <row r="153" spans="1:26" ht="15.75" hidden="1" customHeight="1" x14ac:dyDescent="0.25">
      <c r="A153" s="25" t="s">
        <v>521</v>
      </c>
      <c r="B153" s="24" t="s">
        <v>480</v>
      </c>
      <c r="C153" s="24" t="s">
        <v>481</v>
      </c>
      <c r="D153" s="24">
        <v>512916</v>
      </c>
      <c r="E153" s="25" t="s">
        <v>522</v>
      </c>
      <c r="F153" s="25">
        <v>9699193721</v>
      </c>
      <c r="G153" s="24" t="s">
        <v>524</v>
      </c>
    </row>
    <row r="154" spans="1:26" ht="15.75" hidden="1" customHeight="1" x14ac:dyDescent="0.25">
      <c r="A154" s="24" t="s">
        <v>521</v>
      </c>
      <c r="B154" s="24" t="s">
        <v>483</v>
      </c>
      <c r="C154" s="24" t="s">
        <v>484</v>
      </c>
      <c r="D154" s="24">
        <v>512915</v>
      </c>
      <c r="E154" s="24" t="s">
        <v>522</v>
      </c>
      <c r="F154" s="24">
        <v>9699193721</v>
      </c>
      <c r="G154" s="24" t="s">
        <v>525</v>
      </c>
    </row>
    <row r="155" spans="1:26" ht="15.75" hidden="1" customHeight="1" x14ac:dyDescent="0.25">
      <c r="A155" s="25" t="s">
        <v>521</v>
      </c>
      <c r="B155" s="24" t="s">
        <v>486</v>
      </c>
      <c r="C155" s="24" t="s">
        <v>484</v>
      </c>
      <c r="D155" s="24">
        <v>512915</v>
      </c>
      <c r="E155" s="25" t="s">
        <v>522</v>
      </c>
      <c r="F155" s="25">
        <v>9699193721</v>
      </c>
      <c r="G155" s="24" t="s">
        <v>525</v>
      </c>
    </row>
    <row r="156" spans="1:26" ht="15.75" hidden="1" customHeight="1" x14ac:dyDescent="0.25">
      <c r="A156" s="25" t="s">
        <v>521</v>
      </c>
      <c r="B156" s="24" t="s">
        <v>487</v>
      </c>
      <c r="C156" s="24" t="s">
        <v>488</v>
      </c>
      <c r="D156" s="24">
        <v>512907</v>
      </c>
      <c r="E156" s="25" t="s">
        <v>522</v>
      </c>
      <c r="F156" s="25">
        <v>9699193721</v>
      </c>
      <c r="G156" s="24" t="s">
        <v>526</v>
      </c>
    </row>
    <row r="157" spans="1:26" ht="15.75" hidden="1" customHeight="1" x14ac:dyDescent="0.25">
      <c r="A157" s="25" t="s">
        <v>521</v>
      </c>
      <c r="B157" s="24" t="s">
        <v>477</v>
      </c>
      <c r="C157" s="25" t="s">
        <v>478</v>
      </c>
      <c r="D157" s="25">
        <v>512901</v>
      </c>
      <c r="E157" s="25" t="s">
        <v>522</v>
      </c>
      <c r="F157" s="25">
        <v>9699193721</v>
      </c>
      <c r="G157" s="24" t="s">
        <v>527</v>
      </c>
      <c r="H157" s="4"/>
      <c r="I157" s="4"/>
      <c r="J157" s="4"/>
      <c r="K157" s="4"/>
      <c r="L157" s="4"/>
      <c r="M157" s="4"/>
      <c r="N157" s="4"/>
      <c r="O157" s="4"/>
      <c r="P157" s="4"/>
      <c r="Q157" s="4"/>
      <c r="R157" s="4"/>
      <c r="S157" s="4"/>
      <c r="T157" s="4"/>
      <c r="U157" s="4"/>
      <c r="V157" s="4"/>
      <c r="W157" s="4"/>
      <c r="X157" s="4"/>
      <c r="Y157" s="4"/>
      <c r="Z157" s="4"/>
    </row>
    <row r="158" spans="1:26" ht="15.75" hidden="1" customHeight="1" x14ac:dyDescent="0.25">
      <c r="A158" s="25" t="s">
        <v>521</v>
      </c>
      <c r="B158" s="24" t="s">
        <v>472</v>
      </c>
      <c r="C158" s="24" t="s">
        <v>473</v>
      </c>
      <c r="D158" s="24">
        <v>512985</v>
      </c>
      <c r="E158" s="25" t="s">
        <v>522</v>
      </c>
      <c r="F158" s="25">
        <v>9699193721</v>
      </c>
      <c r="G158" s="24" t="s">
        <v>528</v>
      </c>
      <c r="H158" s="4"/>
      <c r="I158" s="4"/>
      <c r="J158" s="4"/>
      <c r="K158" s="4"/>
      <c r="L158" s="4"/>
      <c r="M158" s="4"/>
      <c r="N158" s="4"/>
      <c r="O158" s="4"/>
      <c r="P158" s="4"/>
      <c r="Q158" s="4"/>
      <c r="R158" s="4"/>
      <c r="S158" s="4"/>
      <c r="T158" s="4"/>
      <c r="U158" s="4"/>
      <c r="V158" s="4"/>
      <c r="W158" s="4"/>
      <c r="X158" s="4"/>
      <c r="Y158" s="4"/>
      <c r="Z158" s="4"/>
    </row>
    <row r="159" spans="1:26" ht="15.75" hidden="1" customHeight="1" x14ac:dyDescent="0.25">
      <c r="A159" s="25" t="s">
        <v>521</v>
      </c>
      <c r="B159" s="24" t="s">
        <v>459</v>
      </c>
      <c r="C159" s="24" t="s">
        <v>460</v>
      </c>
      <c r="D159" s="25">
        <v>512903</v>
      </c>
      <c r="E159" s="25" t="s">
        <v>522</v>
      </c>
      <c r="F159" s="25">
        <v>9699193721</v>
      </c>
      <c r="G159" s="24" t="s">
        <v>529</v>
      </c>
      <c r="H159" s="4"/>
      <c r="I159" s="4"/>
      <c r="J159" s="4"/>
      <c r="K159" s="4"/>
      <c r="L159" s="4"/>
      <c r="M159" s="4"/>
      <c r="N159" s="4"/>
      <c r="O159" s="4"/>
      <c r="P159" s="4"/>
      <c r="Q159" s="4"/>
      <c r="R159" s="4"/>
      <c r="S159" s="4"/>
      <c r="T159" s="4"/>
      <c r="U159" s="4"/>
      <c r="V159" s="4"/>
      <c r="W159" s="4"/>
      <c r="X159" s="4"/>
      <c r="Y159" s="4"/>
      <c r="Z159" s="4"/>
    </row>
    <row r="160" spans="1:26" ht="15.75" hidden="1" customHeight="1" x14ac:dyDescent="0.25">
      <c r="A160" s="25" t="s">
        <v>521</v>
      </c>
      <c r="B160" s="24" t="s">
        <v>463</v>
      </c>
      <c r="C160" s="24" t="s">
        <v>464</v>
      </c>
      <c r="D160" s="25">
        <v>512903</v>
      </c>
      <c r="E160" s="25" t="s">
        <v>522</v>
      </c>
      <c r="F160" s="25">
        <v>9699193721</v>
      </c>
      <c r="G160" s="24" t="s">
        <v>530</v>
      </c>
      <c r="H160" s="4"/>
      <c r="I160" s="4"/>
      <c r="J160" s="4"/>
      <c r="K160" s="4"/>
      <c r="L160" s="4"/>
      <c r="M160" s="4"/>
      <c r="N160" s="4"/>
      <c r="O160" s="4"/>
      <c r="P160" s="4"/>
      <c r="Q160" s="4"/>
      <c r="R160" s="4"/>
      <c r="S160" s="4"/>
      <c r="T160" s="4"/>
      <c r="U160" s="4"/>
      <c r="V160" s="4"/>
      <c r="W160" s="4"/>
      <c r="X160" s="4"/>
      <c r="Y160" s="4"/>
      <c r="Z160" s="4"/>
    </row>
    <row r="161" spans="1:26" ht="15.75" hidden="1" customHeight="1" x14ac:dyDescent="0.25">
      <c r="A161" s="25" t="s">
        <v>521</v>
      </c>
      <c r="B161" s="24" t="s">
        <v>466</v>
      </c>
      <c r="C161" s="24" t="s">
        <v>467</v>
      </c>
      <c r="D161" s="25">
        <v>512903</v>
      </c>
      <c r="E161" s="25" t="s">
        <v>522</v>
      </c>
      <c r="F161" s="25">
        <v>9699193721</v>
      </c>
      <c r="G161" s="24" t="s">
        <v>531</v>
      </c>
      <c r="H161" s="4"/>
      <c r="I161" s="4"/>
      <c r="J161" s="4"/>
      <c r="K161" s="4"/>
      <c r="L161" s="4"/>
      <c r="M161" s="4"/>
      <c r="N161" s="4"/>
      <c r="O161" s="4"/>
      <c r="P161" s="4"/>
      <c r="Q161" s="4"/>
      <c r="R161" s="4"/>
      <c r="S161" s="4"/>
      <c r="T161" s="4"/>
      <c r="U161" s="4"/>
      <c r="V161" s="4"/>
      <c r="W161" s="4"/>
      <c r="X161" s="4"/>
      <c r="Y161" s="4"/>
      <c r="Z161" s="4"/>
    </row>
    <row r="162" spans="1:26" ht="15.75" customHeight="1" x14ac:dyDescent="0.25">
      <c r="A162" s="25" t="s">
        <v>532</v>
      </c>
      <c r="B162" s="25" t="s">
        <v>469</v>
      </c>
      <c r="C162" s="25" t="s">
        <v>470</v>
      </c>
      <c r="D162" s="25">
        <v>512901</v>
      </c>
      <c r="E162" s="25" t="s">
        <v>522</v>
      </c>
      <c r="F162" s="25">
        <v>9699193721</v>
      </c>
      <c r="G162" s="24" t="s">
        <v>533</v>
      </c>
      <c r="H162" s="4"/>
      <c r="I162" s="4"/>
      <c r="J162" s="4"/>
      <c r="K162" s="4"/>
      <c r="L162" s="4"/>
      <c r="M162" s="4"/>
      <c r="N162" s="4"/>
      <c r="O162" s="4"/>
      <c r="P162" s="4"/>
      <c r="Q162" s="4"/>
      <c r="R162" s="4"/>
      <c r="S162" s="4"/>
      <c r="T162" s="4"/>
      <c r="U162" s="4"/>
      <c r="V162" s="4"/>
      <c r="W162" s="4"/>
      <c r="X162" s="4"/>
      <c r="Y162" s="4"/>
      <c r="Z162" s="4"/>
    </row>
    <row r="163" spans="1:26" ht="15.75" customHeight="1" x14ac:dyDescent="0.25">
      <c r="A163" s="25" t="s">
        <v>532</v>
      </c>
      <c r="B163" s="24" t="s">
        <v>480</v>
      </c>
      <c r="C163" s="24" t="s">
        <v>481</v>
      </c>
      <c r="D163" s="24">
        <v>512916</v>
      </c>
      <c r="E163" s="25" t="s">
        <v>522</v>
      </c>
      <c r="F163" s="25">
        <v>9699193721</v>
      </c>
      <c r="G163" s="24" t="s">
        <v>534</v>
      </c>
      <c r="H163" s="4"/>
      <c r="I163" s="4"/>
      <c r="J163" s="4"/>
      <c r="K163" s="4"/>
      <c r="L163" s="4"/>
      <c r="M163" s="4"/>
      <c r="N163" s="4"/>
      <c r="O163" s="4"/>
      <c r="P163" s="4"/>
      <c r="Q163" s="4"/>
      <c r="R163" s="4"/>
      <c r="S163" s="4"/>
      <c r="T163" s="4"/>
      <c r="U163" s="4"/>
      <c r="V163" s="4"/>
      <c r="W163" s="4"/>
      <c r="X163" s="4"/>
      <c r="Y163" s="4"/>
      <c r="Z163" s="4"/>
    </row>
    <row r="164" spans="1:26" ht="15.75" customHeight="1" x14ac:dyDescent="0.25">
      <c r="A164" s="24" t="s">
        <v>532</v>
      </c>
      <c r="B164" s="24" t="s">
        <v>483</v>
      </c>
      <c r="C164" s="24" t="s">
        <v>484</v>
      </c>
      <c r="D164" s="24">
        <v>512915</v>
      </c>
      <c r="E164" s="24" t="s">
        <v>522</v>
      </c>
      <c r="F164" s="24">
        <v>9699193721</v>
      </c>
      <c r="G164" s="24" t="s">
        <v>535</v>
      </c>
      <c r="H164" s="4"/>
      <c r="I164" s="4"/>
      <c r="J164" s="4"/>
      <c r="K164" s="4"/>
      <c r="L164" s="4"/>
      <c r="M164" s="4"/>
      <c r="N164" s="4"/>
      <c r="O164" s="4"/>
      <c r="P164" s="4"/>
      <c r="Q164" s="4"/>
      <c r="R164" s="4"/>
      <c r="S164" s="4"/>
      <c r="T164" s="4"/>
      <c r="U164" s="4"/>
      <c r="V164" s="4"/>
      <c r="W164" s="4"/>
      <c r="X164" s="4"/>
      <c r="Y164" s="4"/>
      <c r="Z164" s="4"/>
    </row>
    <row r="165" spans="1:26" ht="15.75" customHeight="1" x14ac:dyDescent="0.25">
      <c r="A165" s="25" t="s">
        <v>532</v>
      </c>
      <c r="B165" s="24" t="s">
        <v>486</v>
      </c>
      <c r="C165" s="24" t="s">
        <v>484</v>
      </c>
      <c r="D165" s="24">
        <v>512915</v>
      </c>
      <c r="E165" s="25" t="s">
        <v>522</v>
      </c>
      <c r="F165" s="25">
        <v>9699193721</v>
      </c>
      <c r="G165" s="24" t="s">
        <v>535</v>
      </c>
      <c r="H165" s="4"/>
      <c r="I165" s="4"/>
      <c r="J165" s="4"/>
      <c r="K165" s="4"/>
      <c r="L165" s="4"/>
      <c r="M165" s="4"/>
      <c r="N165" s="4"/>
      <c r="O165" s="4"/>
      <c r="P165" s="4"/>
      <c r="Q165" s="4"/>
      <c r="R165" s="4"/>
      <c r="S165" s="4"/>
      <c r="T165" s="4"/>
      <c r="U165" s="4"/>
      <c r="V165" s="4"/>
      <c r="W165" s="4"/>
      <c r="X165" s="4"/>
      <c r="Y165" s="4"/>
      <c r="Z165" s="4"/>
    </row>
    <row r="166" spans="1:26" ht="15.75" customHeight="1" x14ac:dyDescent="0.25">
      <c r="A166" s="25" t="s">
        <v>532</v>
      </c>
      <c r="B166" s="24" t="s">
        <v>487</v>
      </c>
      <c r="C166" s="24" t="s">
        <v>488</v>
      </c>
      <c r="D166" s="24">
        <v>512907</v>
      </c>
      <c r="E166" s="25" t="s">
        <v>522</v>
      </c>
      <c r="F166" s="25">
        <v>9699193721</v>
      </c>
      <c r="G166" s="24" t="s">
        <v>536</v>
      </c>
      <c r="H166" s="4"/>
      <c r="I166" s="4"/>
      <c r="J166" s="4"/>
      <c r="K166" s="4"/>
      <c r="L166" s="4"/>
      <c r="M166" s="4"/>
      <c r="N166" s="4"/>
      <c r="O166" s="4"/>
      <c r="P166" s="4"/>
      <c r="Q166" s="4"/>
      <c r="R166" s="4"/>
      <c r="S166" s="4"/>
      <c r="T166" s="4"/>
      <c r="U166" s="4"/>
      <c r="V166" s="4"/>
      <c r="W166" s="4"/>
      <c r="X166" s="4"/>
      <c r="Y166" s="4"/>
      <c r="Z166" s="4"/>
    </row>
    <row r="167" spans="1:26" ht="15.75" customHeight="1" x14ac:dyDescent="0.25">
      <c r="A167" s="24" t="s">
        <v>532</v>
      </c>
      <c r="B167" s="24" t="s">
        <v>472</v>
      </c>
      <c r="C167" s="24" t="s">
        <v>473</v>
      </c>
      <c r="D167" s="24">
        <v>512985</v>
      </c>
      <c r="E167" s="24" t="s">
        <v>522</v>
      </c>
      <c r="F167" s="24">
        <v>9699193721</v>
      </c>
      <c r="G167" s="24" t="s">
        <v>537</v>
      </c>
    </row>
    <row r="168" spans="1:26" ht="15.75" customHeight="1" x14ac:dyDescent="0.25">
      <c r="A168" s="25" t="s">
        <v>532</v>
      </c>
      <c r="B168" s="24" t="s">
        <v>477</v>
      </c>
      <c r="C168" s="24" t="s">
        <v>478</v>
      </c>
      <c r="D168" s="24">
        <v>512901</v>
      </c>
      <c r="E168" s="25" t="s">
        <v>522</v>
      </c>
      <c r="F168" s="25">
        <v>9699193721</v>
      </c>
      <c r="G168" s="24" t="s">
        <v>538</v>
      </c>
    </row>
    <row r="169" spans="1:26" ht="15.75" customHeight="1" x14ac:dyDescent="0.25">
      <c r="A169" s="25" t="s">
        <v>532</v>
      </c>
      <c r="B169" s="24" t="s">
        <v>459</v>
      </c>
      <c r="C169" s="24" t="s">
        <v>460</v>
      </c>
      <c r="D169" s="25">
        <v>512903</v>
      </c>
      <c r="E169" s="25" t="s">
        <v>522</v>
      </c>
      <c r="F169" s="25">
        <v>9699193721</v>
      </c>
      <c r="G169" s="24" t="s">
        <v>539</v>
      </c>
    </row>
    <row r="170" spans="1:26" ht="15.75" customHeight="1" x14ac:dyDescent="0.25">
      <c r="A170" s="25" t="s">
        <v>532</v>
      </c>
      <c r="B170" s="24" t="s">
        <v>463</v>
      </c>
      <c r="C170" s="24" t="s">
        <v>464</v>
      </c>
      <c r="D170" s="25">
        <v>512903</v>
      </c>
      <c r="E170" s="25" t="s">
        <v>522</v>
      </c>
      <c r="F170" s="25">
        <v>9699193721</v>
      </c>
      <c r="G170" s="24" t="s">
        <v>540</v>
      </c>
    </row>
    <row r="171" spans="1:26" ht="15.75" customHeight="1" x14ac:dyDescent="0.25">
      <c r="A171" s="25" t="s">
        <v>532</v>
      </c>
      <c r="B171" s="24" t="s">
        <v>466</v>
      </c>
      <c r="C171" s="24" t="s">
        <v>467</v>
      </c>
      <c r="D171" s="25">
        <v>512903</v>
      </c>
      <c r="E171" s="25" t="s">
        <v>522</v>
      </c>
      <c r="F171" s="25">
        <v>9699193721</v>
      </c>
      <c r="G171" s="24" t="s">
        <v>541</v>
      </c>
    </row>
    <row r="172" spans="1:26" ht="15.75" hidden="1" customHeight="1" x14ac:dyDescent="0.25">
      <c r="A172" s="24" t="s">
        <v>542</v>
      </c>
      <c r="B172" s="24" t="s">
        <v>469</v>
      </c>
      <c r="C172" s="24" t="s">
        <v>470</v>
      </c>
      <c r="D172" s="24">
        <v>512901</v>
      </c>
      <c r="E172" s="24" t="s">
        <v>491</v>
      </c>
      <c r="F172" s="24">
        <v>9699193721</v>
      </c>
      <c r="G172" s="24" t="s">
        <v>543</v>
      </c>
    </row>
    <row r="173" spans="1:26" ht="15.75" hidden="1" customHeight="1" x14ac:dyDescent="0.25">
      <c r="A173" s="24" t="s">
        <v>542</v>
      </c>
      <c r="B173" s="24" t="s">
        <v>459</v>
      </c>
      <c r="C173" s="24" t="s">
        <v>460</v>
      </c>
      <c r="D173" s="24">
        <v>512903</v>
      </c>
      <c r="E173" s="24" t="s">
        <v>491</v>
      </c>
      <c r="F173" s="24">
        <v>9699193721</v>
      </c>
      <c r="G173" s="24" t="s">
        <v>544</v>
      </c>
    </row>
    <row r="174" spans="1:26" ht="15.75" hidden="1" customHeight="1" x14ac:dyDescent="0.25">
      <c r="A174" s="24" t="s">
        <v>542</v>
      </c>
      <c r="B174" s="24" t="s">
        <v>463</v>
      </c>
      <c r="C174" s="24" t="s">
        <v>464</v>
      </c>
      <c r="D174" s="24">
        <v>512903</v>
      </c>
      <c r="E174" s="24" t="s">
        <v>491</v>
      </c>
      <c r="F174" s="24">
        <v>9699193721</v>
      </c>
      <c r="G174" s="24" t="s">
        <v>545</v>
      </c>
    </row>
    <row r="175" spans="1:26" ht="15.75" hidden="1" customHeight="1" x14ac:dyDescent="0.25">
      <c r="A175" s="24" t="s">
        <v>542</v>
      </c>
      <c r="B175" s="24" t="s">
        <v>466</v>
      </c>
      <c r="C175" s="24" t="s">
        <v>467</v>
      </c>
      <c r="D175" s="24">
        <v>512903</v>
      </c>
      <c r="E175" s="24" t="s">
        <v>491</v>
      </c>
      <c r="F175" s="24">
        <v>9699193721</v>
      </c>
      <c r="G175" s="24" t="s">
        <v>546</v>
      </c>
      <c r="H175" s="4"/>
      <c r="I175" s="4"/>
      <c r="J175" s="4"/>
      <c r="K175" s="4"/>
      <c r="L175" s="4"/>
      <c r="M175" s="4"/>
      <c r="N175" s="4"/>
      <c r="O175" s="4"/>
      <c r="P175" s="4"/>
      <c r="Q175" s="4"/>
      <c r="R175" s="4"/>
      <c r="S175" s="4"/>
      <c r="T175" s="4"/>
      <c r="U175" s="4"/>
      <c r="V175" s="4"/>
      <c r="W175" s="4"/>
      <c r="X175" s="4"/>
      <c r="Y175" s="4"/>
      <c r="Z175" s="4"/>
    </row>
    <row r="176" spans="1:26" ht="15.75" hidden="1" customHeight="1" x14ac:dyDescent="0.25">
      <c r="A176" s="24" t="s">
        <v>542</v>
      </c>
      <c r="B176" s="24" t="s">
        <v>480</v>
      </c>
      <c r="C176" s="24" t="s">
        <v>481</v>
      </c>
      <c r="D176" s="24">
        <v>512916</v>
      </c>
      <c r="E176" s="24" t="s">
        <v>491</v>
      </c>
      <c r="F176" s="24">
        <v>9699193721</v>
      </c>
      <c r="G176" s="24" t="s">
        <v>547</v>
      </c>
    </row>
    <row r="177" spans="1:26" ht="15.75" hidden="1" customHeight="1" x14ac:dyDescent="0.25">
      <c r="A177" s="24" t="s">
        <v>542</v>
      </c>
      <c r="B177" s="24" t="s">
        <v>483</v>
      </c>
      <c r="C177" s="24" t="s">
        <v>484</v>
      </c>
      <c r="D177" s="24">
        <v>512915</v>
      </c>
      <c r="E177" s="24" t="s">
        <v>491</v>
      </c>
      <c r="F177" s="24">
        <v>9699193721</v>
      </c>
      <c r="G177" s="24" t="s">
        <v>548</v>
      </c>
    </row>
    <row r="178" spans="1:26" ht="15.75" hidden="1" customHeight="1" x14ac:dyDescent="0.25">
      <c r="A178" s="24" t="s">
        <v>542</v>
      </c>
      <c r="B178" s="24" t="s">
        <v>486</v>
      </c>
      <c r="C178" s="24" t="s">
        <v>484</v>
      </c>
      <c r="D178" s="24">
        <v>512915</v>
      </c>
      <c r="E178" s="24" t="s">
        <v>491</v>
      </c>
      <c r="F178" s="24">
        <v>9699193721</v>
      </c>
      <c r="G178" s="24" t="s">
        <v>548</v>
      </c>
    </row>
    <row r="179" spans="1:26" ht="15.75" hidden="1" customHeight="1" x14ac:dyDescent="0.25">
      <c r="A179" s="24" t="s">
        <v>542</v>
      </c>
      <c r="B179" s="24" t="s">
        <v>487</v>
      </c>
      <c r="C179" s="24" t="s">
        <v>488</v>
      </c>
      <c r="D179" s="24">
        <v>512907</v>
      </c>
      <c r="E179" s="24" t="s">
        <v>491</v>
      </c>
      <c r="F179" s="24">
        <v>9699193721</v>
      </c>
      <c r="G179" s="24" t="s">
        <v>549</v>
      </c>
    </row>
    <row r="180" spans="1:26" ht="15.75" hidden="1" customHeight="1" x14ac:dyDescent="0.25">
      <c r="A180" s="24" t="s">
        <v>542</v>
      </c>
      <c r="B180" s="24" t="s">
        <v>477</v>
      </c>
      <c r="C180" s="24" t="s">
        <v>478</v>
      </c>
      <c r="D180" s="24">
        <v>512901</v>
      </c>
      <c r="E180" s="24" t="s">
        <v>491</v>
      </c>
      <c r="F180" s="24">
        <v>9699193721</v>
      </c>
      <c r="G180" s="24" t="s">
        <v>550</v>
      </c>
    </row>
    <row r="181" spans="1:26" ht="15.75" hidden="1" customHeight="1" x14ac:dyDescent="0.25">
      <c r="A181" s="24" t="s">
        <v>542</v>
      </c>
      <c r="B181" s="24" t="s">
        <v>472</v>
      </c>
      <c r="C181" s="24" t="s">
        <v>473</v>
      </c>
      <c r="D181" s="24">
        <v>512985</v>
      </c>
      <c r="E181" s="24" t="s">
        <v>491</v>
      </c>
      <c r="F181" s="24">
        <v>9699193721</v>
      </c>
      <c r="G181" s="24" t="s">
        <v>551</v>
      </c>
    </row>
    <row r="182" spans="1:26" ht="15.75" hidden="1" customHeight="1" x14ac:dyDescent="0.25">
      <c r="A182" s="24" t="s">
        <v>542</v>
      </c>
      <c r="B182" s="24" t="s">
        <v>322</v>
      </c>
      <c r="C182" s="24" t="s">
        <v>322</v>
      </c>
      <c r="D182" s="24">
        <v>611129</v>
      </c>
      <c r="E182" s="24" t="s">
        <v>552</v>
      </c>
      <c r="F182" s="24">
        <v>9699193721</v>
      </c>
      <c r="G182" s="24" t="s">
        <v>553</v>
      </c>
      <c r="H182" s="4"/>
      <c r="I182" s="4"/>
      <c r="J182" s="4"/>
      <c r="K182" s="4"/>
      <c r="L182" s="4"/>
      <c r="M182" s="4"/>
      <c r="N182" s="4"/>
      <c r="O182" s="4"/>
      <c r="P182" s="4"/>
      <c r="Q182" s="4"/>
      <c r="R182" s="4"/>
      <c r="S182" s="4"/>
      <c r="T182" s="4"/>
      <c r="U182" s="4"/>
      <c r="V182" s="4"/>
      <c r="W182" s="4"/>
      <c r="X182" s="4"/>
      <c r="Y182" s="4"/>
      <c r="Z182" s="4"/>
    </row>
    <row r="183" spans="1:26" ht="15.75" hidden="1" customHeight="1" x14ac:dyDescent="0.25">
      <c r="A183" s="25" t="s">
        <v>554</v>
      </c>
      <c r="B183" s="25" t="s">
        <v>555</v>
      </c>
      <c r="C183" s="25" t="s">
        <v>556</v>
      </c>
      <c r="D183" s="25">
        <v>612105</v>
      </c>
      <c r="E183" s="25" t="s">
        <v>557</v>
      </c>
      <c r="F183" s="25">
        <v>9600101858</v>
      </c>
      <c r="G183" s="24" t="s">
        <v>558</v>
      </c>
    </row>
    <row r="184" spans="1:26" ht="15.75" hidden="1" customHeight="1" x14ac:dyDescent="0.25">
      <c r="A184" s="25" t="s">
        <v>554</v>
      </c>
      <c r="B184" s="25" t="s">
        <v>559</v>
      </c>
      <c r="C184" s="25" t="s">
        <v>560</v>
      </c>
      <c r="D184" s="25">
        <v>612105</v>
      </c>
      <c r="E184" s="25" t="s">
        <v>561</v>
      </c>
      <c r="F184" s="25">
        <v>9600101858</v>
      </c>
      <c r="G184" s="24" t="s">
        <v>562</v>
      </c>
    </row>
    <row r="185" spans="1:26" ht="15.75" hidden="1" customHeight="1" x14ac:dyDescent="0.25">
      <c r="A185" s="25" t="s">
        <v>554</v>
      </c>
      <c r="B185" s="25" t="s">
        <v>563</v>
      </c>
      <c r="C185" s="25" t="s">
        <v>564</v>
      </c>
      <c r="D185" s="25">
        <v>612105</v>
      </c>
      <c r="E185" s="25" t="s">
        <v>565</v>
      </c>
      <c r="F185" s="25">
        <v>9600101858</v>
      </c>
      <c r="G185" s="24" t="s">
        <v>566</v>
      </c>
    </row>
    <row r="186" spans="1:26" ht="15.75" hidden="1" customHeight="1" x14ac:dyDescent="0.25">
      <c r="A186" s="25" t="s">
        <v>554</v>
      </c>
      <c r="B186" s="25" t="s">
        <v>567</v>
      </c>
      <c r="C186" s="25" t="s">
        <v>568</v>
      </c>
      <c r="D186" s="25">
        <v>612105</v>
      </c>
      <c r="E186" s="25" t="s">
        <v>565</v>
      </c>
      <c r="F186" s="25">
        <v>9600101858</v>
      </c>
      <c r="G186" s="24" t="s">
        <v>569</v>
      </c>
    </row>
    <row r="187" spans="1:26" ht="15.75" hidden="1" customHeight="1" x14ac:dyDescent="0.25">
      <c r="A187" s="25" t="s">
        <v>554</v>
      </c>
      <c r="B187" s="25" t="s">
        <v>570</v>
      </c>
      <c r="C187" s="25" t="s">
        <v>571</v>
      </c>
      <c r="D187" s="25">
        <v>612105</v>
      </c>
      <c r="E187" s="25" t="s">
        <v>572</v>
      </c>
      <c r="F187" s="25">
        <v>9600101858</v>
      </c>
      <c r="G187" s="24" t="s">
        <v>573</v>
      </c>
    </row>
    <row r="188" spans="1:26" ht="15.75" hidden="1" customHeight="1" x14ac:dyDescent="0.25">
      <c r="A188" s="25" t="s">
        <v>554</v>
      </c>
      <c r="B188" s="25" t="s">
        <v>574</v>
      </c>
      <c r="C188" s="24" t="s">
        <v>575</v>
      </c>
      <c r="D188" s="24">
        <v>512907</v>
      </c>
      <c r="E188" s="24" t="s">
        <v>572</v>
      </c>
      <c r="F188" s="25">
        <v>9600101858</v>
      </c>
      <c r="G188" s="24" t="s">
        <v>576</v>
      </c>
    </row>
    <row r="189" spans="1:26" ht="15.75" hidden="1" customHeight="1" x14ac:dyDescent="0.25">
      <c r="A189" s="25" t="s">
        <v>554</v>
      </c>
      <c r="B189" s="25" t="s">
        <v>577</v>
      </c>
      <c r="C189" s="24" t="s">
        <v>453</v>
      </c>
      <c r="D189" s="24">
        <v>512916</v>
      </c>
      <c r="E189" s="24" t="s">
        <v>572</v>
      </c>
      <c r="F189" s="25">
        <v>9600101858</v>
      </c>
      <c r="G189" s="24" t="s">
        <v>578</v>
      </c>
    </row>
    <row r="190" spans="1:26" ht="15.75" hidden="1" customHeight="1" x14ac:dyDescent="0.25">
      <c r="A190" s="25" t="s">
        <v>554</v>
      </c>
      <c r="B190" s="25" t="s">
        <v>579</v>
      </c>
      <c r="C190" s="24" t="s">
        <v>580</v>
      </c>
      <c r="D190" s="24">
        <v>512911</v>
      </c>
      <c r="E190" s="24" t="s">
        <v>572</v>
      </c>
      <c r="F190" s="25">
        <v>9600101858</v>
      </c>
      <c r="G190" s="24" t="s">
        <v>581</v>
      </c>
    </row>
    <row r="191" spans="1:26" ht="15.75" hidden="1" customHeight="1" x14ac:dyDescent="0.25">
      <c r="A191" s="24" t="s">
        <v>554</v>
      </c>
      <c r="B191" s="24" t="s">
        <v>582</v>
      </c>
      <c r="C191" s="24" t="s">
        <v>583</v>
      </c>
      <c r="D191" s="24">
        <v>512887</v>
      </c>
      <c r="E191" s="24" t="s">
        <v>572</v>
      </c>
      <c r="F191" s="24">
        <v>9600101858</v>
      </c>
      <c r="G191" s="24" t="s">
        <v>584</v>
      </c>
    </row>
    <row r="192" spans="1:26" ht="15.75" hidden="1" customHeight="1" x14ac:dyDescent="0.25">
      <c r="A192" s="25" t="s">
        <v>554</v>
      </c>
      <c r="B192" s="25" t="s">
        <v>585</v>
      </c>
      <c r="C192" s="25" t="s">
        <v>353</v>
      </c>
      <c r="D192" s="25">
        <v>512885</v>
      </c>
      <c r="E192" s="24" t="s">
        <v>572</v>
      </c>
      <c r="F192" s="25">
        <v>9600101858</v>
      </c>
      <c r="G192" s="24" t="s">
        <v>586</v>
      </c>
    </row>
    <row r="193" spans="1:26" ht="15.75" hidden="1" customHeight="1" x14ac:dyDescent="0.25">
      <c r="A193" s="25" t="s">
        <v>554</v>
      </c>
      <c r="B193" s="25" t="s">
        <v>587</v>
      </c>
      <c r="C193" s="25" t="s">
        <v>588</v>
      </c>
      <c r="D193" s="25">
        <v>512888</v>
      </c>
      <c r="E193" s="24" t="s">
        <v>572</v>
      </c>
      <c r="F193" s="25">
        <v>9600101858</v>
      </c>
      <c r="G193" s="24" t="s">
        <v>589</v>
      </c>
    </row>
    <row r="194" spans="1:26" ht="15.75" hidden="1" customHeight="1" x14ac:dyDescent="0.25">
      <c r="A194" s="25" t="s">
        <v>554</v>
      </c>
      <c r="B194" s="25" t="s">
        <v>590</v>
      </c>
      <c r="C194" s="25" t="s">
        <v>591</v>
      </c>
      <c r="D194" s="25">
        <v>512901</v>
      </c>
      <c r="E194" s="24" t="s">
        <v>572</v>
      </c>
      <c r="F194" s="25">
        <v>9600101858</v>
      </c>
      <c r="G194" s="24" t="s">
        <v>592</v>
      </c>
    </row>
    <row r="195" spans="1:26" ht="15.75" hidden="1" customHeight="1" x14ac:dyDescent="0.25">
      <c r="A195" s="25" t="s">
        <v>554</v>
      </c>
      <c r="B195" s="25" t="s">
        <v>593</v>
      </c>
      <c r="C195" s="25" t="s">
        <v>351</v>
      </c>
      <c r="D195" s="25">
        <v>512902</v>
      </c>
      <c r="E195" s="25" t="s">
        <v>572</v>
      </c>
      <c r="F195" s="25">
        <v>9600101858</v>
      </c>
      <c r="G195" s="24" t="s">
        <v>594</v>
      </c>
    </row>
    <row r="196" spans="1:26" ht="15.75" hidden="1" customHeight="1" x14ac:dyDescent="0.25">
      <c r="A196" s="25" t="s">
        <v>554</v>
      </c>
      <c r="B196" s="25" t="s">
        <v>595</v>
      </c>
      <c r="C196" s="25" t="s">
        <v>596</v>
      </c>
      <c r="D196" s="25">
        <v>512885</v>
      </c>
      <c r="E196" s="25" t="s">
        <v>572</v>
      </c>
      <c r="F196" s="25">
        <v>9600101858</v>
      </c>
      <c r="G196" s="24" t="s">
        <v>597</v>
      </c>
    </row>
    <row r="197" spans="1:26" ht="15.75" hidden="1" customHeight="1" x14ac:dyDescent="0.25">
      <c r="A197" s="25" t="s">
        <v>598</v>
      </c>
      <c r="B197" s="25" t="s">
        <v>353</v>
      </c>
      <c r="C197" s="25" t="s">
        <v>353</v>
      </c>
      <c r="D197" s="25">
        <v>512885</v>
      </c>
      <c r="E197" s="25" t="s">
        <v>599</v>
      </c>
      <c r="F197" s="25">
        <v>9600017003</v>
      </c>
      <c r="G197" s="25" t="s">
        <v>600</v>
      </c>
      <c r="H197" s="4"/>
      <c r="I197" s="4"/>
      <c r="J197" s="4"/>
      <c r="K197" s="4"/>
      <c r="L197" s="4"/>
      <c r="M197" s="4"/>
      <c r="N197" s="4"/>
      <c r="O197" s="4"/>
      <c r="P197" s="4"/>
      <c r="Q197" s="4"/>
      <c r="R197" s="4"/>
      <c r="S197" s="4"/>
      <c r="T197" s="4"/>
      <c r="U197" s="4"/>
      <c r="V197" s="4"/>
      <c r="W197" s="4"/>
      <c r="X197" s="4"/>
      <c r="Y197" s="4"/>
      <c r="Z197" s="4"/>
    </row>
    <row r="198" spans="1:26" ht="15.75" hidden="1" customHeight="1" x14ac:dyDescent="0.25">
      <c r="A198" s="25" t="s">
        <v>598</v>
      </c>
      <c r="B198" s="25" t="s">
        <v>601</v>
      </c>
      <c r="C198" s="25" t="s">
        <v>602</v>
      </c>
      <c r="D198" s="25">
        <v>512885</v>
      </c>
      <c r="E198" s="25" t="s">
        <v>603</v>
      </c>
      <c r="F198" s="25">
        <v>9600017004</v>
      </c>
      <c r="G198" s="24" t="s">
        <v>604</v>
      </c>
    </row>
    <row r="199" spans="1:26" ht="15.75" hidden="1" customHeight="1" x14ac:dyDescent="0.25">
      <c r="A199" s="25" t="s">
        <v>598</v>
      </c>
      <c r="B199" s="25" t="s">
        <v>574</v>
      </c>
      <c r="C199" s="24" t="s">
        <v>575</v>
      </c>
      <c r="D199" s="24">
        <v>512907</v>
      </c>
      <c r="E199" s="25" t="s">
        <v>603</v>
      </c>
      <c r="F199" s="25">
        <v>9600017004</v>
      </c>
      <c r="G199" s="24" t="s">
        <v>605</v>
      </c>
    </row>
    <row r="200" spans="1:26" ht="15.75" hidden="1" customHeight="1" x14ac:dyDescent="0.25">
      <c r="A200" s="25" t="s">
        <v>598</v>
      </c>
      <c r="B200" s="25" t="s">
        <v>606</v>
      </c>
      <c r="C200" s="24" t="s">
        <v>453</v>
      </c>
      <c r="D200" s="24">
        <v>512916</v>
      </c>
      <c r="E200" s="25" t="s">
        <v>603</v>
      </c>
      <c r="F200" s="25">
        <v>9600017004</v>
      </c>
      <c r="G200" s="24" t="s">
        <v>607</v>
      </c>
    </row>
    <row r="201" spans="1:26" ht="15.75" hidden="1" customHeight="1" x14ac:dyDescent="0.25">
      <c r="A201" s="25" t="s">
        <v>598</v>
      </c>
      <c r="B201" s="25" t="s">
        <v>579</v>
      </c>
      <c r="C201" s="24" t="s">
        <v>580</v>
      </c>
      <c r="D201" s="24">
        <v>512911</v>
      </c>
      <c r="E201" s="25" t="s">
        <v>603</v>
      </c>
      <c r="F201" s="25">
        <v>9600017004</v>
      </c>
      <c r="G201" s="24" t="s">
        <v>608</v>
      </c>
    </row>
    <row r="202" spans="1:26" ht="15.75" hidden="1" customHeight="1" x14ac:dyDescent="0.25">
      <c r="A202" s="25" t="s">
        <v>609</v>
      </c>
      <c r="B202" s="25" t="s">
        <v>574</v>
      </c>
      <c r="C202" s="24" t="s">
        <v>575</v>
      </c>
      <c r="D202" s="24">
        <v>512907</v>
      </c>
      <c r="E202" s="25" t="s">
        <v>610</v>
      </c>
      <c r="F202" s="25">
        <v>9600101858</v>
      </c>
      <c r="G202" s="24" t="s">
        <v>611</v>
      </c>
    </row>
    <row r="203" spans="1:26" ht="15.75" hidden="1" customHeight="1" x14ac:dyDescent="0.25">
      <c r="A203" s="25" t="s">
        <v>609</v>
      </c>
      <c r="B203" s="25" t="s">
        <v>606</v>
      </c>
      <c r="C203" s="24" t="s">
        <v>453</v>
      </c>
      <c r="D203" s="24">
        <v>512916</v>
      </c>
      <c r="E203" s="25" t="s">
        <v>610</v>
      </c>
      <c r="F203" s="25">
        <v>9600101858</v>
      </c>
      <c r="G203" s="24" t="s">
        <v>612</v>
      </c>
    </row>
    <row r="204" spans="1:26" ht="15.75" hidden="1" customHeight="1" x14ac:dyDescent="0.25">
      <c r="A204" s="25" t="s">
        <v>609</v>
      </c>
      <c r="B204" s="25" t="s">
        <v>579</v>
      </c>
      <c r="C204" s="24" t="s">
        <v>580</v>
      </c>
      <c r="D204" s="24">
        <v>512911</v>
      </c>
      <c r="E204" s="25" t="s">
        <v>610</v>
      </c>
      <c r="F204" s="25">
        <v>9600101858</v>
      </c>
      <c r="G204" s="24" t="s">
        <v>613</v>
      </c>
    </row>
    <row r="205" spans="1:26" ht="15.75" hidden="1" customHeight="1" x14ac:dyDescent="0.25">
      <c r="A205" s="24" t="s">
        <v>614</v>
      </c>
      <c r="B205" s="24" t="s">
        <v>615</v>
      </c>
      <c r="C205" s="25" t="s">
        <v>616</v>
      </c>
      <c r="D205" s="25">
        <v>612105</v>
      </c>
      <c r="E205" s="25" t="s">
        <v>617</v>
      </c>
      <c r="F205" s="24">
        <v>9699193685</v>
      </c>
      <c r="G205" s="24" t="s">
        <v>618</v>
      </c>
    </row>
    <row r="206" spans="1:26" ht="15.75" hidden="1" customHeight="1" x14ac:dyDescent="0.25">
      <c r="A206" s="24" t="s">
        <v>614</v>
      </c>
      <c r="B206" s="24" t="s">
        <v>619</v>
      </c>
      <c r="C206" s="25" t="s">
        <v>616</v>
      </c>
      <c r="D206" s="25">
        <v>612105</v>
      </c>
      <c r="E206" s="25" t="s">
        <v>617</v>
      </c>
      <c r="F206" s="24">
        <v>9699193685</v>
      </c>
      <c r="G206" s="24" t="s">
        <v>618</v>
      </c>
    </row>
    <row r="207" spans="1:26" ht="15.75" hidden="1" customHeight="1" x14ac:dyDescent="0.25">
      <c r="A207" s="24" t="s">
        <v>614</v>
      </c>
      <c r="B207" s="24" t="s">
        <v>620</v>
      </c>
      <c r="C207" s="25" t="s">
        <v>616</v>
      </c>
      <c r="D207" s="25">
        <v>612105</v>
      </c>
      <c r="E207" s="25" t="s">
        <v>617</v>
      </c>
      <c r="F207" s="24">
        <v>9699193685</v>
      </c>
      <c r="G207" s="24" t="s">
        <v>618</v>
      </c>
    </row>
    <row r="208" spans="1:26" ht="15.75" hidden="1" customHeight="1" x14ac:dyDescent="0.25">
      <c r="A208" s="24" t="s">
        <v>614</v>
      </c>
      <c r="B208" s="24" t="s">
        <v>621</v>
      </c>
      <c r="C208" s="25" t="s">
        <v>616</v>
      </c>
      <c r="D208" s="25">
        <v>612105</v>
      </c>
      <c r="E208" s="25" t="s">
        <v>617</v>
      </c>
      <c r="F208" s="24">
        <v>9699193685</v>
      </c>
      <c r="G208" s="24" t="s">
        <v>618</v>
      </c>
    </row>
    <row r="209" spans="1:7" ht="15.75" hidden="1" customHeight="1" x14ac:dyDescent="0.25">
      <c r="A209" s="24" t="s">
        <v>614</v>
      </c>
      <c r="B209" s="24" t="s">
        <v>622</v>
      </c>
      <c r="C209" s="25" t="s">
        <v>616</v>
      </c>
      <c r="D209" s="25">
        <v>612105</v>
      </c>
      <c r="E209" s="25" t="s">
        <v>617</v>
      </c>
      <c r="F209" s="24">
        <v>9699193685</v>
      </c>
      <c r="G209" s="24" t="s">
        <v>618</v>
      </c>
    </row>
    <row r="210" spans="1:7" ht="15.75" hidden="1" customHeight="1" x14ac:dyDescent="0.25">
      <c r="A210" s="24" t="s">
        <v>614</v>
      </c>
      <c r="B210" s="24" t="s">
        <v>623</v>
      </c>
      <c r="C210" s="25" t="s">
        <v>616</v>
      </c>
      <c r="D210" s="25">
        <v>612105</v>
      </c>
      <c r="E210" s="25" t="s">
        <v>617</v>
      </c>
      <c r="F210" s="24">
        <v>9699193685</v>
      </c>
      <c r="G210" s="24" t="s">
        <v>618</v>
      </c>
    </row>
    <row r="211" spans="1:7" ht="15.75" hidden="1" customHeight="1" x14ac:dyDescent="0.25">
      <c r="A211" s="24" t="s">
        <v>614</v>
      </c>
      <c r="B211" s="24" t="s">
        <v>624</v>
      </c>
      <c r="C211" s="25" t="s">
        <v>616</v>
      </c>
      <c r="D211" s="25">
        <v>612105</v>
      </c>
      <c r="E211" s="25" t="s">
        <v>617</v>
      </c>
      <c r="F211" s="24">
        <v>9699193685</v>
      </c>
      <c r="G211" s="24" t="s">
        <v>618</v>
      </c>
    </row>
    <row r="212" spans="1:7" ht="15.75" hidden="1" customHeight="1" x14ac:dyDescent="0.25">
      <c r="A212" s="24" t="s">
        <v>614</v>
      </c>
      <c r="B212" s="24" t="s">
        <v>625</v>
      </c>
      <c r="C212" s="25" t="s">
        <v>626</v>
      </c>
      <c r="D212" s="25">
        <v>512901</v>
      </c>
      <c r="E212" s="25" t="s">
        <v>617</v>
      </c>
      <c r="F212" s="24">
        <v>9699193685</v>
      </c>
      <c r="G212" s="24" t="s">
        <v>627</v>
      </c>
    </row>
    <row r="213" spans="1:7" ht="15.75" hidden="1" customHeight="1" x14ac:dyDescent="0.25">
      <c r="A213" s="24" t="s">
        <v>614</v>
      </c>
      <c r="B213" s="24" t="s">
        <v>628</v>
      </c>
      <c r="C213" s="25" t="s">
        <v>629</v>
      </c>
      <c r="D213" s="25">
        <v>512908</v>
      </c>
      <c r="E213" s="25" t="s">
        <v>617</v>
      </c>
      <c r="F213" s="24">
        <v>9699193685</v>
      </c>
      <c r="G213" s="24" t="s">
        <v>630</v>
      </c>
    </row>
    <row r="214" spans="1:7" ht="15.75" hidden="1" customHeight="1" x14ac:dyDescent="0.25">
      <c r="A214" s="24" t="s">
        <v>614</v>
      </c>
      <c r="B214" s="24" t="s">
        <v>631</v>
      </c>
      <c r="C214" s="25" t="s">
        <v>632</v>
      </c>
      <c r="D214" s="25">
        <v>512909</v>
      </c>
      <c r="E214" s="25" t="s">
        <v>617</v>
      </c>
      <c r="F214" s="24">
        <v>9699193685</v>
      </c>
      <c r="G214" s="24" t="s">
        <v>633</v>
      </c>
    </row>
    <row r="215" spans="1:7" ht="15.75" hidden="1" customHeight="1" x14ac:dyDescent="0.25">
      <c r="A215" s="24" t="s">
        <v>614</v>
      </c>
      <c r="B215" s="24" t="s">
        <v>634</v>
      </c>
      <c r="C215" s="25" t="s">
        <v>635</v>
      </c>
      <c r="D215" s="25">
        <v>512883</v>
      </c>
      <c r="E215" s="25" t="s">
        <v>617</v>
      </c>
      <c r="F215" s="24">
        <v>9699193685</v>
      </c>
      <c r="G215" s="24" t="s">
        <v>636</v>
      </c>
    </row>
    <row r="216" spans="1:7" ht="15.75" hidden="1" customHeight="1" x14ac:dyDescent="0.25">
      <c r="A216" s="24" t="s">
        <v>614</v>
      </c>
      <c r="B216" s="24" t="s">
        <v>637</v>
      </c>
      <c r="C216" s="25" t="s">
        <v>638</v>
      </c>
      <c r="D216" s="25">
        <v>512887</v>
      </c>
      <c r="E216" s="25" t="s">
        <v>617</v>
      </c>
      <c r="F216" s="24">
        <v>9699193685</v>
      </c>
      <c r="G216" s="24" t="s">
        <v>639</v>
      </c>
    </row>
    <row r="217" spans="1:7" ht="15.75" hidden="1" customHeight="1" x14ac:dyDescent="0.25">
      <c r="A217" s="24" t="s">
        <v>614</v>
      </c>
      <c r="B217" s="24" t="s">
        <v>640</v>
      </c>
      <c r="C217" s="25" t="s">
        <v>629</v>
      </c>
      <c r="D217" s="25">
        <v>512908</v>
      </c>
      <c r="E217" s="25" t="s">
        <v>617</v>
      </c>
      <c r="F217" s="24">
        <v>9699193685</v>
      </c>
      <c r="G217" s="24" t="s">
        <v>630</v>
      </c>
    </row>
    <row r="218" spans="1:7" ht="15.75" hidden="1" customHeight="1" x14ac:dyDescent="0.25">
      <c r="A218" s="24" t="s">
        <v>614</v>
      </c>
      <c r="B218" s="24" t="s">
        <v>641</v>
      </c>
      <c r="C218" s="25" t="s">
        <v>345</v>
      </c>
      <c r="D218" s="25">
        <v>512985</v>
      </c>
      <c r="E218" s="25" t="s">
        <v>617</v>
      </c>
      <c r="F218" s="24">
        <v>9699193685</v>
      </c>
      <c r="G218" s="24" t="s">
        <v>642</v>
      </c>
    </row>
    <row r="219" spans="1:7" ht="15.75" hidden="1" customHeight="1" x14ac:dyDescent="0.25">
      <c r="A219" s="24" t="s">
        <v>614</v>
      </c>
      <c r="B219" s="24" t="s">
        <v>643</v>
      </c>
      <c r="C219" s="25" t="s">
        <v>460</v>
      </c>
      <c r="D219" s="25">
        <v>512903</v>
      </c>
      <c r="E219" s="25" t="s">
        <v>617</v>
      </c>
      <c r="F219" s="24">
        <v>9699193685</v>
      </c>
      <c r="G219" s="24" t="s">
        <v>644</v>
      </c>
    </row>
    <row r="220" spans="1:7" ht="15.75" hidden="1" customHeight="1" x14ac:dyDescent="0.25">
      <c r="A220" s="24" t="s">
        <v>614</v>
      </c>
      <c r="B220" s="24" t="s">
        <v>645</v>
      </c>
      <c r="C220" s="25" t="s">
        <v>629</v>
      </c>
      <c r="D220" s="25">
        <v>512908</v>
      </c>
      <c r="E220" s="25" t="s">
        <v>617</v>
      </c>
      <c r="F220" s="24">
        <v>9699193685</v>
      </c>
      <c r="G220" s="24" t="s">
        <v>630</v>
      </c>
    </row>
    <row r="221" spans="1:7" ht="15.75" hidden="1" customHeight="1" x14ac:dyDescent="0.25">
      <c r="A221" s="24" t="s">
        <v>614</v>
      </c>
      <c r="B221" s="24" t="s">
        <v>646</v>
      </c>
      <c r="C221" s="25" t="s">
        <v>638</v>
      </c>
      <c r="D221" s="25">
        <v>512887</v>
      </c>
      <c r="E221" s="25" t="s">
        <v>617</v>
      </c>
      <c r="F221" s="24">
        <v>9699193685</v>
      </c>
      <c r="G221" s="24" t="s">
        <v>639</v>
      </c>
    </row>
    <row r="222" spans="1:7" ht="15.75" hidden="1" customHeight="1" x14ac:dyDescent="0.25">
      <c r="A222" s="24" t="s">
        <v>614</v>
      </c>
      <c r="B222" s="24" t="s">
        <v>647</v>
      </c>
      <c r="C222" s="25" t="s">
        <v>345</v>
      </c>
      <c r="D222" s="25">
        <v>512985</v>
      </c>
      <c r="E222" s="25" t="s">
        <v>617</v>
      </c>
      <c r="F222" s="24">
        <v>9699193685</v>
      </c>
      <c r="G222" s="24" t="s">
        <v>642</v>
      </c>
    </row>
    <row r="223" spans="1:7" ht="15.75" hidden="1" customHeight="1" x14ac:dyDescent="0.25">
      <c r="A223" s="24" t="s">
        <v>614</v>
      </c>
      <c r="B223" s="24" t="s">
        <v>648</v>
      </c>
      <c r="C223" s="25" t="s">
        <v>353</v>
      </c>
      <c r="D223" s="25">
        <v>512885</v>
      </c>
      <c r="E223" s="25" t="s">
        <v>617</v>
      </c>
      <c r="F223" s="24">
        <v>9699193685</v>
      </c>
      <c r="G223" s="24" t="s">
        <v>649</v>
      </c>
    </row>
    <row r="224" spans="1:7" ht="15.75" hidden="1" customHeight="1" x14ac:dyDescent="0.25">
      <c r="A224" s="24" t="s">
        <v>614</v>
      </c>
      <c r="B224" s="24" t="s">
        <v>650</v>
      </c>
      <c r="C224" s="25" t="s">
        <v>588</v>
      </c>
      <c r="D224" s="25">
        <v>512888</v>
      </c>
      <c r="E224" s="25" t="s">
        <v>617</v>
      </c>
      <c r="F224" s="24">
        <v>9699193685</v>
      </c>
      <c r="G224" s="24" t="s">
        <v>651</v>
      </c>
    </row>
    <row r="225" spans="1:7" ht="15.75" hidden="1" customHeight="1" x14ac:dyDescent="0.25">
      <c r="A225" s="24" t="s">
        <v>614</v>
      </c>
      <c r="B225" s="24" t="s">
        <v>652</v>
      </c>
      <c r="C225" s="25" t="s">
        <v>653</v>
      </c>
      <c r="D225" s="25">
        <v>512910</v>
      </c>
      <c r="E225" s="25" t="s">
        <v>617</v>
      </c>
      <c r="F225" s="24">
        <v>9699193685</v>
      </c>
      <c r="G225" s="24" t="s">
        <v>654</v>
      </c>
    </row>
    <row r="226" spans="1:7" ht="15.75" hidden="1" customHeight="1" x14ac:dyDescent="0.25">
      <c r="A226" s="24" t="s">
        <v>614</v>
      </c>
      <c r="B226" s="24" t="s">
        <v>655</v>
      </c>
      <c r="C226" s="25" t="s">
        <v>345</v>
      </c>
      <c r="D226" s="25">
        <v>512985</v>
      </c>
      <c r="E226" s="25" t="s">
        <v>617</v>
      </c>
      <c r="F226" s="24">
        <v>9699193685</v>
      </c>
      <c r="G226" s="24" t="s">
        <v>642</v>
      </c>
    </row>
    <row r="227" spans="1:7" ht="15.75" hidden="1" customHeight="1" x14ac:dyDescent="0.25">
      <c r="A227" s="24" t="s">
        <v>614</v>
      </c>
      <c r="B227" s="24" t="s">
        <v>656</v>
      </c>
      <c r="C227" s="25" t="s">
        <v>638</v>
      </c>
      <c r="D227" s="25">
        <v>512887</v>
      </c>
      <c r="E227" s="25" t="s">
        <v>617</v>
      </c>
      <c r="F227" s="24">
        <v>9699193685</v>
      </c>
      <c r="G227" s="24" t="s">
        <v>639</v>
      </c>
    </row>
    <row r="228" spans="1:7" ht="15.75" hidden="1" customHeight="1" x14ac:dyDescent="0.25">
      <c r="A228" s="24" t="s">
        <v>614</v>
      </c>
      <c r="B228" s="24" t="s">
        <v>657</v>
      </c>
      <c r="C228" s="25" t="s">
        <v>353</v>
      </c>
      <c r="D228" s="25">
        <v>512885</v>
      </c>
      <c r="E228" s="25" t="s">
        <v>617</v>
      </c>
      <c r="F228" s="24">
        <v>9699193685</v>
      </c>
      <c r="G228" s="24" t="s">
        <v>649</v>
      </c>
    </row>
    <row r="229" spans="1:7" ht="15.75" hidden="1" customHeight="1" x14ac:dyDescent="0.25">
      <c r="A229" s="24" t="s">
        <v>614</v>
      </c>
      <c r="B229" s="24" t="s">
        <v>658</v>
      </c>
      <c r="C229" s="25" t="s">
        <v>638</v>
      </c>
      <c r="D229" s="25">
        <v>512887</v>
      </c>
      <c r="E229" s="25" t="s">
        <v>617</v>
      </c>
      <c r="F229" s="24">
        <v>9699193685</v>
      </c>
      <c r="G229" s="24" t="s">
        <v>639</v>
      </c>
    </row>
    <row r="230" spans="1:7" ht="15.75" hidden="1" customHeight="1" x14ac:dyDescent="0.25">
      <c r="A230" s="24" t="s">
        <v>614</v>
      </c>
      <c r="B230" s="24" t="s">
        <v>643</v>
      </c>
      <c r="C230" s="25" t="s">
        <v>659</v>
      </c>
      <c r="D230" s="25">
        <v>512903</v>
      </c>
      <c r="E230" s="25" t="s">
        <v>617</v>
      </c>
      <c r="F230" s="24">
        <v>9699193685</v>
      </c>
      <c r="G230" s="24" t="s">
        <v>660</v>
      </c>
    </row>
    <row r="231" spans="1:7" ht="15.75" hidden="1" customHeight="1" x14ac:dyDescent="0.25">
      <c r="A231" s="24" t="s">
        <v>614</v>
      </c>
      <c r="B231" s="24" t="s">
        <v>661</v>
      </c>
      <c r="C231" s="25" t="s">
        <v>353</v>
      </c>
      <c r="D231" s="25">
        <v>512885</v>
      </c>
      <c r="E231" s="25" t="s">
        <v>617</v>
      </c>
      <c r="F231" s="24">
        <v>9699193685</v>
      </c>
      <c r="G231" s="24" t="s">
        <v>649</v>
      </c>
    </row>
    <row r="232" spans="1:7" ht="15.75" hidden="1" customHeight="1" x14ac:dyDescent="0.25">
      <c r="A232" s="24" t="s">
        <v>614</v>
      </c>
      <c r="B232" s="24" t="s">
        <v>662</v>
      </c>
      <c r="C232" s="25" t="s">
        <v>353</v>
      </c>
      <c r="D232" s="25">
        <v>512885</v>
      </c>
      <c r="E232" s="25" t="s">
        <v>617</v>
      </c>
      <c r="F232" s="24">
        <v>9699193685</v>
      </c>
      <c r="G232" s="24" t="s">
        <v>649</v>
      </c>
    </row>
    <row r="233" spans="1:7" ht="15.75" hidden="1" customHeight="1" x14ac:dyDescent="0.25">
      <c r="A233" s="24" t="s">
        <v>614</v>
      </c>
      <c r="B233" s="24" t="s">
        <v>650</v>
      </c>
      <c r="C233" s="25" t="s">
        <v>588</v>
      </c>
      <c r="D233" s="25">
        <v>512888</v>
      </c>
      <c r="E233" s="25" t="s">
        <v>617</v>
      </c>
      <c r="F233" s="24">
        <v>9699193685</v>
      </c>
      <c r="G233" s="24" t="s">
        <v>651</v>
      </c>
    </row>
    <row r="234" spans="1:7" ht="15.75" hidden="1" customHeight="1" x14ac:dyDescent="0.25">
      <c r="A234" s="24" t="s">
        <v>614</v>
      </c>
      <c r="B234" s="24" t="s">
        <v>655</v>
      </c>
      <c r="C234" s="25" t="s">
        <v>345</v>
      </c>
      <c r="D234" s="25">
        <v>512985</v>
      </c>
      <c r="E234" s="25" t="s">
        <v>617</v>
      </c>
      <c r="F234" s="24">
        <v>9699193685</v>
      </c>
      <c r="G234" s="24" t="s">
        <v>642</v>
      </c>
    </row>
    <row r="235" spans="1:7" ht="15.75" hidden="1" customHeight="1" x14ac:dyDescent="0.25">
      <c r="A235" s="24" t="s">
        <v>614</v>
      </c>
      <c r="B235" s="24" t="s">
        <v>647</v>
      </c>
      <c r="C235" s="25" t="s">
        <v>345</v>
      </c>
      <c r="D235" s="25">
        <v>512985</v>
      </c>
      <c r="E235" s="25" t="s">
        <v>617</v>
      </c>
      <c r="F235" s="24">
        <v>9699193685</v>
      </c>
      <c r="G235" s="24" t="s">
        <v>642</v>
      </c>
    </row>
    <row r="236" spans="1:7" ht="15.75" hidden="1" customHeight="1" x14ac:dyDescent="0.25">
      <c r="A236" s="24" t="s">
        <v>614</v>
      </c>
      <c r="B236" s="24" t="s">
        <v>663</v>
      </c>
      <c r="C236" s="25" t="s">
        <v>635</v>
      </c>
      <c r="D236" s="25">
        <v>512883</v>
      </c>
      <c r="E236" s="25" t="s">
        <v>617</v>
      </c>
      <c r="F236" s="24">
        <v>9699193685</v>
      </c>
      <c r="G236" s="24" t="s">
        <v>636</v>
      </c>
    </row>
    <row r="237" spans="1:7" ht="15.75" hidden="1" customHeight="1" x14ac:dyDescent="0.25">
      <c r="A237" s="24" t="s">
        <v>614</v>
      </c>
      <c r="B237" s="24" t="s">
        <v>637</v>
      </c>
      <c r="C237" s="25" t="s">
        <v>638</v>
      </c>
      <c r="D237" s="25">
        <v>512887</v>
      </c>
      <c r="E237" s="25" t="s">
        <v>617</v>
      </c>
      <c r="F237" s="24">
        <v>9699193685</v>
      </c>
      <c r="G237" s="24" t="s">
        <v>639</v>
      </c>
    </row>
    <row r="238" spans="1:7" ht="15.75" hidden="1" customHeight="1" x14ac:dyDescent="0.25">
      <c r="A238" s="24" t="s">
        <v>614</v>
      </c>
      <c r="B238" s="24" t="s">
        <v>652</v>
      </c>
      <c r="C238" s="25" t="s">
        <v>653</v>
      </c>
      <c r="D238" s="25">
        <v>512910</v>
      </c>
      <c r="E238" s="25" t="s">
        <v>617</v>
      </c>
      <c r="F238" s="24">
        <v>9699193685</v>
      </c>
      <c r="G238" s="24" t="s">
        <v>654</v>
      </c>
    </row>
    <row r="239" spans="1:7" ht="15.75" hidden="1" customHeight="1" x14ac:dyDescent="0.25">
      <c r="A239" s="24" t="s">
        <v>614</v>
      </c>
      <c r="B239" s="24" t="s">
        <v>631</v>
      </c>
      <c r="C239" s="25" t="s">
        <v>632</v>
      </c>
      <c r="D239" s="25">
        <v>512909</v>
      </c>
      <c r="E239" s="25" t="s">
        <v>617</v>
      </c>
      <c r="F239" s="24">
        <v>9699193685</v>
      </c>
      <c r="G239" s="24" t="s">
        <v>633</v>
      </c>
    </row>
    <row r="240" spans="1:7" ht="15.75" hidden="1" customHeight="1" x14ac:dyDescent="0.25">
      <c r="A240" s="24" t="s">
        <v>614</v>
      </c>
      <c r="B240" s="24" t="s">
        <v>628</v>
      </c>
      <c r="C240" s="25" t="s">
        <v>629</v>
      </c>
      <c r="D240" s="25">
        <v>512908</v>
      </c>
      <c r="E240" s="25" t="s">
        <v>617</v>
      </c>
      <c r="F240" s="24">
        <v>9699193685</v>
      </c>
      <c r="G240" s="24" t="s">
        <v>630</v>
      </c>
    </row>
    <row r="241" spans="1:7" ht="15.75" hidden="1" customHeight="1" x14ac:dyDescent="0.25">
      <c r="A241" s="24" t="s">
        <v>614</v>
      </c>
      <c r="B241" s="24" t="s">
        <v>646</v>
      </c>
      <c r="C241" s="25" t="s">
        <v>638</v>
      </c>
      <c r="D241" s="25">
        <v>512887</v>
      </c>
      <c r="E241" s="25" t="s">
        <v>617</v>
      </c>
      <c r="F241" s="24">
        <v>9699193685</v>
      </c>
      <c r="G241" s="24" t="s">
        <v>639</v>
      </c>
    </row>
    <row r="242" spans="1:7" ht="15.75" hidden="1" customHeight="1" x14ac:dyDescent="0.25">
      <c r="A242" s="24" t="s">
        <v>614</v>
      </c>
      <c r="B242" s="24" t="s">
        <v>664</v>
      </c>
      <c r="C242" s="25" t="s">
        <v>353</v>
      </c>
      <c r="D242" s="25">
        <v>512885</v>
      </c>
      <c r="E242" s="25" t="s">
        <v>617</v>
      </c>
      <c r="F242" s="24">
        <v>9699193685</v>
      </c>
      <c r="G242" s="24" t="s">
        <v>649</v>
      </c>
    </row>
    <row r="243" spans="1:7" ht="15.75" hidden="1" customHeight="1" x14ac:dyDescent="0.25">
      <c r="A243" s="24" t="s">
        <v>614</v>
      </c>
      <c r="B243" s="24" t="s">
        <v>665</v>
      </c>
      <c r="C243" s="25" t="s">
        <v>666</v>
      </c>
      <c r="D243" s="25">
        <v>512907</v>
      </c>
      <c r="E243" s="25" t="s">
        <v>617</v>
      </c>
      <c r="F243" s="24">
        <v>9699193685</v>
      </c>
      <c r="G243" s="24" t="s">
        <v>667</v>
      </c>
    </row>
    <row r="244" spans="1:7" ht="15.75" hidden="1" customHeight="1" x14ac:dyDescent="0.25">
      <c r="A244" s="24" t="s">
        <v>614</v>
      </c>
      <c r="B244" s="24" t="s">
        <v>668</v>
      </c>
      <c r="C244" s="25" t="s">
        <v>669</v>
      </c>
      <c r="D244" s="25">
        <v>512904</v>
      </c>
      <c r="E244" s="25" t="s">
        <v>617</v>
      </c>
      <c r="F244" s="24">
        <v>9699193685</v>
      </c>
      <c r="G244" s="24" t="s">
        <v>670</v>
      </c>
    </row>
    <row r="245" spans="1:7" ht="15.75" hidden="1" customHeight="1" x14ac:dyDescent="0.25">
      <c r="A245" s="24" t="s">
        <v>614</v>
      </c>
      <c r="B245" s="24" t="s">
        <v>671</v>
      </c>
      <c r="C245" s="25" t="s">
        <v>353</v>
      </c>
      <c r="D245" s="25">
        <v>512885</v>
      </c>
      <c r="E245" s="25" t="s">
        <v>617</v>
      </c>
      <c r="F245" s="24">
        <v>9699193685</v>
      </c>
      <c r="G245" s="24" t="s">
        <v>649</v>
      </c>
    </row>
    <row r="246" spans="1:7" ht="15.75" hidden="1" customHeight="1" x14ac:dyDescent="0.25">
      <c r="A246" s="24" t="s">
        <v>614</v>
      </c>
      <c r="B246" s="24" t="s">
        <v>672</v>
      </c>
      <c r="C246" s="24" t="s">
        <v>353</v>
      </c>
      <c r="D246" s="24">
        <v>512885</v>
      </c>
      <c r="E246" s="24" t="s">
        <v>617</v>
      </c>
      <c r="F246" s="24">
        <v>9699193685</v>
      </c>
      <c r="G246" s="24" t="s">
        <v>649</v>
      </c>
    </row>
    <row r="247" spans="1:7" ht="15.75" hidden="1" customHeight="1" x14ac:dyDescent="0.25">
      <c r="A247" s="24" t="s">
        <v>673</v>
      </c>
      <c r="B247" s="24" t="s">
        <v>615</v>
      </c>
      <c r="C247" s="24" t="s">
        <v>616</v>
      </c>
      <c r="D247" s="24">
        <v>612105</v>
      </c>
      <c r="E247" s="24" t="s">
        <v>617</v>
      </c>
      <c r="F247" s="24">
        <v>9699193685</v>
      </c>
      <c r="G247" s="24" t="s">
        <v>674</v>
      </c>
    </row>
    <row r="248" spans="1:7" ht="15.75" hidden="1" customHeight="1" x14ac:dyDescent="0.25">
      <c r="A248" s="24" t="s">
        <v>673</v>
      </c>
      <c r="B248" s="24" t="s">
        <v>619</v>
      </c>
      <c r="C248" s="24" t="s">
        <v>616</v>
      </c>
      <c r="D248" s="24">
        <v>612105</v>
      </c>
      <c r="E248" s="24" t="s">
        <v>617</v>
      </c>
      <c r="F248" s="24">
        <v>9699193685</v>
      </c>
      <c r="G248" s="24" t="s">
        <v>674</v>
      </c>
    </row>
    <row r="249" spans="1:7" ht="15.75" hidden="1" customHeight="1" x14ac:dyDescent="0.25">
      <c r="A249" s="24" t="s">
        <v>673</v>
      </c>
      <c r="B249" s="24" t="s">
        <v>620</v>
      </c>
      <c r="C249" s="24" t="s">
        <v>616</v>
      </c>
      <c r="D249" s="24">
        <v>612105</v>
      </c>
      <c r="E249" s="24" t="s">
        <v>617</v>
      </c>
      <c r="F249" s="24">
        <v>9699193685</v>
      </c>
      <c r="G249" s="24" t="s">
        <v>674</v>
      </c>
    </row>
    <row r="250" spans="1:7" ht="15.75" hidden="1" customHeight="1" x14ac:dyDescent="0.25">
      <c r="A250" s="24" t="s">
        <v>673</v>
      </c>
      <c r="B250" s="24" t="s">
        <v>621</v>
      </c>
      <c r="C250" s="24" t="s">
        <v>616</v>
      </c>
      <c r="D250" s="24">
        <v>612105</v>
      </c>
      <c r="E250" s="24" t="s">
        <v>617</v>
      </c>
      <c r="F250" s="24">
        <v>9699193685</v>
      </c>
      <c r="G250" s="24" t="s">
        <v>674</v>
      </c>
    </row>
    <row r="251" spans="1:7" ht="15.75" hidden="1" customHeight="1" x14ac:dyDescent="0.25">
      <c r="A251" s="24" t="s">
        <v>673</v>
      </c>
      <c r="B251" s="24" t="s">
        <v>622</v>
      </c>
      <c r="C251" s="24" t="s">
        <v>616</v>
      </c>
      <c r="D251" s="24">
        <v>612105</v>
      </c>
      <c r="E251" s="24" t="s">
        <v>617</v>
      </c>
      <c r="F251" s="24">
        <v>9699193685</v>
      </c>
      <c r="G251" s="24" t="s">
        <v>674</v>
      </c>
    </row>
    <row r="252" spans="1:7" ht="15.75" hidden="1" customHeight="1" x14ac:dyDescent="0.25">
      <c r="A252" s="24" t="s">
        <v>673</v>
      </c>
      <c r="B252" s="24" t="s">
        <v>623</v>
      </c>
      <c r="C252" s="24" t="s">
        <v>616</v>
      </c>
      <c r="D252" s="24">
        <v>612105</v>
      </c>
      <c r="E252" s="24" t="s">
        <v>617</v>
      </c>
      <c r="F252" s="24">
        <v>9699193685</v>
      </c>
      <c r="G252" s="24" t="s">
        <v>674</v>
      </c>
    </row>
    <row r="253" spans="1:7" ht="15.75" hidden="1" customHeight="1" x14ac:dyDescent="0.25">
      <c r="A253" s="24" t="s">
        <v>673</v>
      </c>
      <c r="B253" s="24" t="s">
        <v>624</v>
      </c>
      <c r="C253" s="24" t="s">
        <v>616</v>
      </c>
      <c r="D253" s="24">
        <v>612105</v>
      </c>
      <c r="E253" s="24" t="s">
        <v>617</v>
      </c>
      <c r="F253" s="24">
        <v>9699193685</v>
      </c>
      <c r="G253" s="24" t="s">
        <v>674</v>
      </c>
    </row>
    <row r="254" spans="1:7" ht="15.75" hidden="1" customHeight="1" x14ac:dyDescent="0.25">
      <c r="A254" s="24" t="s">
        <v>673</v>
      </c>
      <c r="B254" s="24" t="s">
        <v>625</v>
      </c>
      <c r="C254" s="24" t="s">
        <v>626</v>
      </c>
      <c r="D254" s="24">
        <v>512901</v>
      </c>
      <c r="E254" s="24" t="s">
        <v>617</v>
      </c>
      <c r="F254" s="24">
        <v>9699193685</v>
      </c>
      <c r="G254" s="24" t="s">
        <v>675</v>
      </c>
    </row>
    <row r="255" spans="1:7" ht="15.75" hidden="1" customHeight="1" x14ac:dyDescent="0.25">
      <c r="A255" s="24" t="s">
        <v>673</v>
      </c>
      <c r="B255" s="24" t="s">
        <v>628</v>
      </c>
      <c r="C255" s="24" t="s">
        <v>629</v>
      </c>
      <c r="D255" s="24">
        <v>512908</v>
      </c>
      <c r="E255" s="24" t="s">
        <v>617</v>
      </c>
      <c r="F255" s="24">
        <v>9699193685</v>
      </c>
      <c r="G255" s="24" t="s">
        <v>676</v>
      </c>
    </row>
    <row r="256" spans="1:7" ht="15.75" hidden="1" customHeight="1" x14ac:dyDescent="0.25">
      <c r="A256" s="24" t="s">
        <v>673</v>
      </c>
      <c r="B256" s="24" t="s">
        <v>631</v>
      </c>
      <c r="C256" s="24" t="s">
        <v>632</v>
      </c>
      <c r="D256" s="24">
        <v>512909</v>
      </c>
      <c r="E256" s="24" t="s">
        <v>617</v>
      </c>
      <c r="F256" s="24">
        <v>9699193685</v>
      </c>
      <c r="G256" s="24" t="s">
        <v>677</v>
      </c>
    </row>
    <row r="257" spans="1:7" ht="15.75" hidden="1" customHeight="1" x14ac:dyDescent="0.25">
      <c r="A257" s="24" t="s">
        <v>673</v>
      </c>
      <c r="B257" s="24" t="s">
        <v>634</v>
      </c>
      <c r="C257" s="24" t="s">
        <v>635</v>
      </c>
      <c r="D257" s="24">
        <v>512883</v>
      </c>
      <c r="E257" s="24" t="s">
        <v>617</v>
      </c>
      <c r="F257" s="24">
        <v>9699193685</v>
      </c>
      <c r="G257" s="24" t="s">
        <v>678</v>
      </c>
    </row>
    <row r="258" spans="1:7" ht="15.75" hidden="1" customHeight="1" x14ac:dyDescent="0.25">
      <c r="A258" s="24" t="s">
        <v>673</v>
      </c>
      <c r="B258" s="24" t="s">
        <v>637</v>
      </c>
      <c r="C258" s="24" t="s">
        <v>638</v>
      </c>
      <c r="D258" s="24">
        <v>512887</v>
      </c>
      <c r="E258" s="24" t="s">
        <v>617</v>
      </c>
      <c r="F258" s="24">
        <v>9699193685</v>
      </c>
      <c r="G258" s="24" t="s">
        <v>679</v>
      </c>
    </row>
    <row r="259" spans="1:7" ht="15.75" hidden="1" customHeight="1" x14ac:dyDescent="0.25">
      <c r="A259" s="24" t="s">
        <v>673</v>
      </c>
      <c r="B259" s="24" t="s">
        <v>640</v>
      </c>
      <c r="C259" s="24" t="s">
        <v>629</v>
      </c>
      <c r="D259" s="24">
        <v>512908</v>
      </c>
      <c r="E259" s="24" t="s">
        <v>617</v>
      </c>
      <c r="F259" s="24">
        <v>9699193685</v>
      </c>
      <c r="G259" s="24" t="s">
        <v>676</v>
      </c>
    </row>
    <row r="260" spans="1:7" ht="15.75" hidden="1" customHeight="1" x14ac:dyDescent="0.25">
      <c r="A260" s="24" t="s">
        <v>673</v>
      </c>
      <c r="B260" s="24" t="s">
        <v>641</v>
      </c>
      <c r="C260" s="24" t="s">
        <v>345</v>
      </c>
      <c r="D260" s="24">
        <v>512985</v>
      </c>
      <c r="E260" s="24" t="s">
        <v>617</v>
      </c>
      <c r="F260" s="24">
        <v>9699193685</v>
      </c>
      <c r="G260" s="24" t="s">
        <v>680</v>
      </c>
    </row>
    <row r="261" spans="1:7" ht="15.75" hidden="1" customHeight="1" x14ac:dyDescent="0.25">
      <c r="A261" s="24" t="s">
        <v>673</v>
      </c>
      <c r="B261" s="24" t="s">
        <v>643</v>
      </c>
      <c r="C261" s="24" t="s">
        <v>460</v>
      </c>
      <c r="D261" s="24">
        <v>512903</v>
      </c>
      <c r="E261" s="24" t="s">
        <v>617</v>
      </c>
      <c r="F261" s="24">
        <v>9699193685</v>
      </c>
      <c r="G261" s="24" t="s">
        <v>681</v>
      </c>
    </row>
    <row r="262" spans="1:7" ht="15.75" hidden="1" customHeight="1" x14ac:dyDescent="0.25">
      <c r="A262" s="24" t="s">
        <v>673</v>
      </c>
      <c r="B262" s="24" t="s">
        <v>645</v>
      </c>
      <c r="C262" s="24" t="s">
        <v>629</v>
      </c>
      <c r="D262" s="24">
        <v>512908</v>
      </c>
      <c r="E262" s="24" t="s">
        <v>617</v>
      </c>
      <c r="F262" s="24">
        <v>9699193685</v>
      </c>
      <c r="G262" s="24" t="s">
        <v>676</v>
      </c>
    </row>
    <row r="263" spans="1:7" ht="15.75" hidden="1" customHeight="1" x14ac:dyDescent="0.25">
      <c r="A263" s="24" t="s">
        <v>673</v>
      </c>
      <c r="B263" s="24" t="s">
        <v>646</v>
      </c>
      <c r="C263" s="24" t="s">
        <v>638</v>
      </c>
      <c r="D263" s="24">
        <v>512887</v>
      </c>
      <c r="E263" s="24" t="s">
        <v>617</v>
      </c>
      <c r="F263" s="24">
        <v>9699193685</v>
      </c>
      <c r="G263" s="24" t="s">
        <v>679</v>
      </c>
    </row>
    <row r="264" spans="1:7" ht="15.75" hidden="1" customHeight="1" x14ac:dyDescent="0.25">
      <c r="A264" s="24" t="s">
        <v>673</v>
      </c>
      <c r="B264" s="24" t="s">
        <v>647</v>
      </c>
      <c r="C264" s="24" t="s">
        <v>345</v>
      </c>
      <c r="D264" s="24">
        <v>512985</v>
      </c>
      <c r="E264" s="24" t="s">
        <v>617</v>
      </c>
      <c r="F264" s="24">
        <v>9699193685</v>
      </c>
      <c r="G264" s="24" t="s">
        <v>680</v>
      </c>
    </row>
    <row r="265" spans="1:7" ht="15.75" hidden="1" customHeight="1" x14ac:dyDescent="0.25">
      <c r="A265" s="24" t="s">
        <v>673</v>
      </c>
      <c r="B265" s="24" t="s">
        <v>648</v>
      </c>
      <c r="C265" s="24" t="s">
        <v>353</v>
      </c>
      <c r="D265" s="24">
        <v>512885</v>
      </c>
      <c r="E265" s="24" t="s">
        <v>617</v>
      </c>
      <c r="F265" s="24">
        <v>9699193685</v>
      </c>
      <c r="G265" s="24" t="s">
        <v>682</v>
      </c>
    </row>
    <row r="266" spans="1:7" ht="15.75" hidden="1" customHeight="1" x14ac:dyDescent="0.25">
      <c r="A266" s="24" t="s">
        <v>673</v>
      </c>
      <c r="B266" s="24" t="s">
        <v>650</v>
      </c>
      <c r="C266" s="24" t="s">
        <v>588</v>
      </c>
      <c r="D266" s="24">
        <v>512888</v>
      </c>
      <c r="E266" s="24" t="s">
        <v>617</v>
      </c>
      <c r="F266" s="24">
        <v>9699193685</v>
      </c>
      <c r="G266" s="24" t="s">
        <v>683</v>
      </c>
    </row>
    <row r="267" spans="1:7" ht="15.75" hidden="1" customHeight="1" x14ac:dyDescent="0.25">
      <c r="A267" s="24" t="s">
        <v>673</v>
      </c>
      <c r="B267" s="24" t="s">
        <v>652</v>
      </c>
      <c r="C267" s="24" t="s">
        <v>653</v>
      </c>
      <c r="D267" s="24">
        <v>512910</v>
      </c>
      <c r="E267" s="24" t="s">
        <v>617</v>
      </c>
      <c r="F267" s="24">
        <v>9699193685</v>
      </c>
      <c r="G267" s="24" t="s">
        <v>684</v>
      </c>
    </row>
    <row r="268" spans="1:7" ht="15.75" hidden="1" customHeight="1" x14ac:dyDescent="0.25">
      <c r="A268" s="24" t="s">
        <v>673</v>
      </c>
      <c r="B268" s="24" t="s">
        <v>655</v>
      </c>
      <c r="C268" s="24" t="s">
        <v>345</v>
      </c>
      <c r="D268" s="24">
        <v>512985</v>
      </c>
      <c r="E268" s="24" t="s">
        <v>617</v>
      </c>
      <c r="F268" s="24">
        <v>9699193685</v>
      </c>
      <c r="G268" s="24" t="s">
        <v>680</v>
      </c>
    </row>
    <row r="269" spans="1:7" ht="15.75" hidden="1" customHeight="1" x14ac:dyDescent="0.25">
      <c r="A269" s="24" t="s">
        <v>673</v>
      </c>
      <c r="B269" s="24" t="s">
        <v>656</v>
      </c>
      <c r="C269" s="24" t="s">
        <v>638</v>
      </c>
      <c r="D269" s="24">
        <v>512887</v>
      </c>
      <c r="E269" s="24" t="s">
        <v>617</v>
      </c>
      <c r="F269" s="24">
        <v>9699193685</v>
      </c>
      <c r="G269" s="24" t="s">
        <v>679</v>
      </c>
    </row>
    <row r="270" spans="1:7" ht="15.75" hidden="1" customHeight="1" x14ac:dyDescent="0.25">
      <c r="A270" s="24" t="s">
        <v>673</v>
      </c>
      <c r="B270" s="24" t="s">
        <v>657</v>
      </c>
      <c r="C270" s="24" t="s">
        <v>353</v>
      </c>
      <c r="D270" s="24">
        <v>512885</v>
      </c>
      <c r="E270" s="24" t="s">
        <v>617</v>
      </c>
      <c r="F270" s="24">
        <v>9699193685</v>
      </c>
      <c r="G270" s="24" t="s">
        <v>682</v>
      </c>
    </row>
    <row r="271" spans="1:7" ht="15.75" hidden="1" customHeight="1" x14ac:dyDescent="0.25">
      <c r="A271" s="24" t="s">
        <v>673</v>
      </c>
      <c r="B271" s="24" t="s">
        <v>658</v>
      </c>
      <c r="C271" s="24" t="s">
        <v>638</v>
      </c>
      <c r="D271" s="24">
        <v>512887</v>
      </c>
      <c r="E271" s="24" t="s">
        <v>617</v>
      </c>
      <c r="F271" s="24">
        <v>9699193685</v>
      </c>
      <c r="G271" s="24" t="s">
        <v>679</v>
      </c>
    </row>
    <row r="272" spans="1:7" ht="15.75" hidden="1" customHeight="1" x14ac:dyDescent="0.25">
      <c r="A272" s="24" t="s">
        <v>673</v>
      </c>
      <c r="B272" s="24" t="s">
        <v>643</v>
      </c>
      <c r="C272" s="24" t="s">
        <v>659</v>
      </c>
      <c r="D272" s="24">
        <v>512903</v>
      </c>
      <c r="E272" s="24" t="s">
        <v>617</v>
      </c>
      <c r="F272" s="24">
        <v>9699193685</v>
      </c>
      <c r="G272" s="24" t="s">
        <v>685</v>
      </c>
    </row>
    <row r="273" spans="1:7" ht="15.75" hidden="1" customHeight="1" x14ac:dyDescent="0.25">
      <c r="A273" s="24" t="s">
        <v>673</v>
      </c>
      <c r="B273" s="24" t="s">
        <v>661</v>
      </c>
      <c r="C273" s="24" t="s">
        <v>353</v>
      </c>
      <c r="D273" s="24">
        <v>512885</v>
      </c>
      <c r="E273" s="24" t="s">
        <v>617</v>
      </c>
      <c r="F273" s="24">
        <v>9699193685</v>
      </c>
      <c r="G273" s="24" t="s">
        <v>682</v>
      </c>
    </row>
    <row r="274" spans="1:7" ht="15.75" hidden="1" customHeight="1" x14ac:dyDescent="0.25">
      <c r="A274" s="24" t="s">
        <v>673</v>
      </c>
      <c r="B274" s="24" t="s">
        <v>662</v>
      </c>
      <c r="C274" s="24" t="s">
        <v>353</v>
      </c>
      <c r="D274" s="24">
        <v>512885</v>
      </c>
      <c r="E274" s="24" t="s">
        <v>617</v>
      </c>
      <c r="F274" s="24">
        <v>9699193685</v>
      </c>
      <c r="G274" s="24" t="s">
        <v>682</v>
      </c>
    </row>
    <row r="275" spans="1:7" ht="15.75" hidden="1" customHeight="1" x14ac:dyDescent="0.25">
      <c r="A275" s="24" t="s">
        <v>673</v>
      </c>
      <c r="B275" s="24" t="s">
        <v>650</v>
      </c>
      <c r="C275" s="24" t="s">
        <v>588</v>
      </c>
      <c r="D275" s="24">
        <v>512888</v>
      </c>
      <c r="E275" s="24" t="s">
        <v>617</v>
      </c>
      <c r="F275" s="24">
        <v>9699193685</v>
      </c>
      <c r="G275" s="24" t="s">
        <v>683</v>
      </c>
    </row>
    <row r="276" spans="1:7" ht="15.75" hidden="1" customHeight="1" x14ac:dyDescent="0.25">
      <c r="A276" s="24" t="s">
        <v>673</v>
      </c>
      <c r="B276" s="24" t="s">
        <v>655</v>
      </c>
      <c r="C276" s="24" t="s">
        <v>345</v>
      </c>
      <c r="D276" s="24">
        <v>512985</v>
      </c>
      <c r="E276" s="24" t="s">
        <v>617</v>
      </c>
      <c r="F276" s="24">
        <v>9699193685</v>
      </c>
      <c r="G276" s="24" t="s">
        <v>680</v>
      </c>
    </row>
    <row r="277" spans="1:7" ht="15.75" hidden="1" customHeight="1" x14ac:dyDescent="0.25">
      <c r="A277" s="24" t="s">
        <v>673</v>
      </c>
      <c r="B277" s="24" t="s">
        <v>647</v>
      </c>
      <c r="C277" s="24" t="s">
        <v>345</v>
      </c>
      <c r="D277" s="24">
        <v>512985</v>
      </c>
      <c r="E277" s="24" t="s">
        <v>617</v>
      </c>
      <c r="F277" s="24">
        <v>9699193685</v>
      </c>
      <c r="G277" s="24" t="s">
        <v>680</v>
      </c>
    </row>
    <row r="278" spans="1:7" ht="15.75" hidden="1" customHeight="1" x14ac:dyDescent="0.25">
      <c r="A278" s="24" t="s">
        <v>673</v>
      </c>
      <c r="B278" s="24" t="s">
        <v>663</v>
      </c>
      <c r="C278" s="24" t="s">
        <v>635</v>
      </c>
      <c r="D278" s="24">
        <v>512883</v>
      </c>
      <c r="E278" s="24" t="s">
        <v>617</v>
      </c>
      <c r="F278" s="24">
        <v>9699193685</v>
      </c>
      <c r="G278" s="24" t="s">
        <v>678</v>
      </c>
    </row>
    <row r="279" spans="1:7" ht="15.75" hidden="1" customHeight="1" x14ac:dyDescent="0.25">
      <c r="A279" s="24" t="s">
        <v>673</v>
      </c>
      <c r="B279" s="24" t="s">
        <v>637</v>
      </c>
      <c r="C279" s="24" t="s">
        <v>638</v>
      </c>
      <c r="D279" s="24">
        <v>512887</v>
      </c>
      <c r="E279" s="24" t="s">
        <v>617</v>
      </c>
      <c r="F279" s="24">
        <v>9699193685</v>
      </c>
      <c r="G279" s="24" t="s">
        <v>679</v>
      </c>
    </row>
    <row r="280" spans="1:7" ht="15.75" hidden="1" customHeight="1" x14ac:dyDescent="0.25">
      <c r="A280" s="24" t="s">
        <v>673</v>
      </c>
      <c r="B280" s="24" t="s">
        <v>652</v>
      </c>
      <c r="C280" s="24" t="s">
        <v>653</v>
      </c>
      <c r="D280" s="24">
        <v>512910</v>
      </c>
      <c r="E280" s="24" t="s">
        <v>617</v>
      </c>
      <c r="F280" s="24">
        <v>9699193685</v>
      </c>
      <c r="G280" s="24" t="s">
        <v>684</v>
      </c>
    </row>
    <row r="281" spans="1:7" ht="15.75" hidden="1" customHeight="1" x14ac:dyDescent="0.25">
      <c r="A281" s="24" t="s">
        <v>673</v>
      </c>
      <c r="B281" s="24" t="s">
        <v>631</v>
      </c>
      <c r="C281" s="24" t="s">
        <v>632</v>
      </c>
      <c r="D281" s="24">
        <v>512909</v>
      </c>
      <c r="E281" s="24" t="s">
        <v>617</v>
      </c>
      <c r="F281" s="24">
        <v>9699193685</v>
      </c>
      <c r="G281" s="24" t="s">
        <v>677</v>
      </c>
    </row>
    <row r="282" spans="1:7" ht="15.75" hidden="1" customHeight="1" x14ac:dyDescent="0.25">
      <c r="A282" s="24" t="s">
        <v>673</v>
      </c>
      <c r="B282" s="24" t="s">
        <v>628</v>
      </c>
      <c r="C282" s="24" t="s">
        <v>629</v>
      </c>
      <c r="D282" s="24">
        <v>512908</v>
      </c>
      <c r="E282" s="24" t="s">
        <v>617</v>
      </c>
      <c r="F282" s="24">
        <v>9699193685</v>
      </c>
      <c r="G282" s="24" t="s">
        <v>676</v>
      </c>
    </row>
    <row r="283" spans="1:7" ht="15.75" hidden="1" customHeight="1" x14ac:dyDescent="0.25">
      <c r="A283" s="24" t="s">
        <v>673</v>
      </c>
      <c r="B283" s="24" t="s">
        <v>646</v>
      </c>
      <c r="C283" s="24" t="s">
        <v>638</v>
      </c>
      <c r="D283" s="24">
        <v>512887</v>
      </c>
      <c r="E283" s="24" t="s">
        <v>617</v>
      </c>
      <c r="F283" s="24">
        <v>9699193685</v>
      </c>
      <c r="G283" s="24" t="s">
        <v>679</v>
      </c>
    </row>
    <row r="284" spans="1:7" ht="15.75" hidden="1" customHeight="1" x14ac:dyDescent="0.25">
      <c r="A284" s="24" t="s">
        <v>673</v>
      </c>
      <c r="B284" s="24" t="s">
        <v>664</v>
      </c>
      <c r="C284" s="24" t="s">
        <v>353</v>
      </c>
      <c r="D284" s="24">
        <v>512885</v>
      </c>
      <c r="E284" s="24" t="s">
        <v>617</v>
      </c>
      <c r="F284" s="24">
        <v>9699193685</v>
      </c>
      <c r="G284" s="24" t="s">
        <v>682</v>
      </c>
    </row>
    <row r="285" spans="1:7" ht="15.75" hidden="1" customHeight="1" x14ac:dyDescent="0.25">
      <c r="A285" s="24" t="s">
        <v>673</v>
      </c>
      <c r="B285" s="24" t="s">
        <v>665</v>
      </c>
      <c r="C285" s="24" t="s">
        <v>666</v>
      </c>
      <c r="D285" s="24">
        <v>512907</v>
      </c>
      <c r="E285" s="24" t="s">
        <v>617</v>
      </c>
      <c r="F285" s="24">
        <v>9699193685</v>
      </c>
      <c r="G285" s="24" t="s">
        <v>686</v>
      </c>
    </row>
    <row r="286" spans="1:7" ht="15.75" hidden="1" customHeight="1" x14ac:dyDescent="0.25">
      <c r="A286" s="24" t="s">
        <v>673</v>
      </c>
      <c r="B286" s="24" t="s">
        <v>668</v>
      </c>
      <c r="C286" s="24" t="s">
        <v>669</v>
      </c>
      <c r="D286" s="24">
        <v>512904</v>
      </c>
      <c r="E286" s="24" t="s">
        <v>617</v>
      </c>
      <c r="F286" s="24">
        <v>9699193685</v>
      </c>
      <c r="G286" s="24" t="s">
        <v>687</v>
      </c>
    </row>
    <row r="287" spans="1:7" ht="15.75" hidden="1" customHeight="1" x14ac:dyDescent="0.25">
      <c r="A287" s="24" t="s">
        <v>673</v>
      </c>
      <c r="B287" s="24" t="s">
        <v>671</v>
      </c>
      <c r="C287" s="24" t="s">
        <v>353</v>
      </c>
      <c r="D287" s="24">
        <v>512885</v>
      </c>
      <c r="E287" s="24" t="s">
        <v>617</v>
      </c>
      <c r="F287" s="24">
        <v>9699193685</v>
      </c>
      <c r="G287" s="24" t="s">
        <v>682</v>
      </c>
    </row>
    <row r="288" spans="1:7" ht="15.75" hidden="1" customHeight="1" x14ac:dyDescent="0.25">
      <c r="A288" s="24" t="s">
        <v>673</v>
      </c>
      <c r="B288" s="24" t="s">
        <v>672</v>
      </c>
      <c r="C288" s="24" t="s">
        <v>353</v>
      </c>
      <c r="D288" s="24">
        <v>512885</v>
      </c>
      <c r="E288" s="24" t="s">
        <v>617</v>
      </c>
      <c r="F288" s="24">
        <v>9699193685</v>
      </c>
      <c r="G288" s="24" t="s">
        <v>682</v>
      </c>
    </row>
    <row r="289" spans="1:7" ht="15.75" hidden="1" customHeight="1" x14ac:dyDescent="0.25">
      <c r="A289" s="24" t="s">
        <v>688</v>
      </c>
      <c r="B289" s="24" t="s">
        <v>615</v>
      </c>
      <c r="C289" s="24" t="s">
        <v>616</v>
      </c>
      <c r="D289" s="24">
        <v>612105</v>
      </c>
      <c r="E289" s="24" t="s">
        <v>617</v>
      </c>
      <c r="F289" s="24">
        <v>9699193685</v>
      </c>
      <c r="G289" s="24" t="s">
        <v>689</v>
      </c>
    </row>
    <row r="290" spans="1:7" ht="15.75" hidden="1" customHeight="1" x14ac:dyDescent="0.25">
      <c r="A290" s="24" t="s">
        <v>688</v>
      </c>
      <c r="B290" s="24" t="s">
        <v>619</v>
      </c>
      <c r="C290" s="24" t="s">
        <v>616</v>
      </c>
      <c r="D290" s="24">
        <v>612105</v>
      </c>
      <c r="E290" s="24" t="s">
        <v>617</v>
      </c>
      <c r="F290" s="24">
        <v>9699193685</v>
      </c>
      <c r="G290" s="24" t="s">
        <v>689</v>
      </c>
    </row>
    <row r="291" spans="1:7" ht="15.75" hidden="1" customHeight="1" x14ac:dyDescent="0.25">
      <c r="A291" s="24" t="s">
        <v>688</v>
      </c>
      <c r="B291" s="24" t="s">
        <v>620</v>
      </c>
      <c r="C291" s="24" t="s">
        <v>616</v>
      </c>
      <c r="D291" s="24">
        <v>612105</v>
      </c>
      <c r="E291" s="24" t="s">
        <v>617</v>
      </c>
      <c r="F291" s="24">
        <v>9699193685</v>
      </c>
      <c r="G291" s="24" t="s">
        <v>689</v>
      </c>
    </row>
    <row r="292" spans="1:7" ht="15.75" hidden="1" customHeight="1" x14ac:dyDescent="0.25">
      <c r="A292" s="24" t="s">
        <v>688</v>
      </c>
      <c r="B292" s="24" t="s">
        <v>621</v>
      </c>
      <c r="C292" s="24" t="s">
        <v>616</v>
      </c>
      <c r="D292" s="24">
        <v>612105</v>
      </c>
      <c r="E292" s="24" t="s">
        <v>617</v>
      </c>
      <c r="F292" s="24">
        <v>9699193685</v>
      </c>
      <c r="G292" s="24" t="s">
        <v>689</v>
      </c>
    </row>
    <row r="293" spans="1:7" ht="15.75" hidden="1" customHeight="1" x14ac:dyDescent="0.25">
      <c r="A293" s="24" t="s">
        <v>688</v>
      </c>
      <c r="B293" s="24" t="s">
        <v>622</v>
      </c>
      <c r="C293" s="24" t="s">
        <v>616</v>
      </c>
      <c r="D293" s="24">
        <v>612105</v>
      </c>
      <c r="E293" s="24" t="s">
        <v>617</v>
      </c>
      <c r="F293" s="24">
        <v>9699193685</v>
      </c>
      <c r="G293" s="24" t="s">
        <v>689</v>
      </c>
    </row>
    <row r="294" spans="1:7" ht="15.75" hidden="1" customHeight="1" x14ac:dyDescent="0.25">
      <c r="A294" s="24" t="s">
        <v>688</v>
      </c>
      <c r="B294" s="24" t="s">
        <v>623</v>
      </c>
      <c r="C294" s="24" t="s">
        <v>616</v>
      </c>
      <c r="D294" s="24">
        <v>612105</v>
      </c>
      <c r="E294" s="24" t="s">
        <v>617</v>
      </c>
      <c r="F294" s="24">
        <v>9699193685</v>
      </c>
      <c r="G294" s="24" t="s">
        <v>689</v>
      </c>
    </row>
    <row r="295" spans="1:7" ht="15.75" hidden="1" customHeight="1" x14ac:dyDescent="0.25">
      <c r="A295" s="24" t="s">
        <v>688</v>
      </c>
      <c r="B295" s="24" t="s">
        <v>624</v>
      </c>
      <c r="C295" s="24" t="s">
        <v>616</v>
      </c>
      <c r="D295" s="24">
        <v>612105</v>
      </c>
      <c r="E295" s="24" t="s">
        <v>617</v>
      </c>
      <c r="F295" s="24">
        <v>9699193685</v>
      </c>
      <c r="G295" s="24" t="s">
        <v>689</v>
      </c>
    </row>
    <row r="296" spans="1:7" ht="15.75" hidden="1" customHeight="1" x14ac:dyDescent="0.25">
      <c r="A296" s="24" t="s">
        <v>688</v>
      </c>
      <c r="B296" s="24" t="s">
        <v>625</v>
      </c>
      <c r="C296" s="24" t="s">
        <v>626</v>
      </c>
      <c r="D296" s="24">
        <v>512901</v>
      </c>
      <c r="E296" s="24" t="s">
        <v>617</v>
      </c>
      <c r="F296" s="24">
        <v>9699193685</v>
      </c>
      <c r="G296" s="24" t="s">
        <v>690</v>
      </c>
    </row>
    <row r="297" spans="1:7" ht="15.75" hidden="1" customHeight="1" x14ac:dyDescent="0.25">
      <c r="A297" s="24" t="s">
        <v>688</v>
      </c>
      <c r="B297" s="24" t="s">
        <v>628</v>
      </c>
      <c r="C297" s="24" t="s">
        <v>629</v>
      </c>
      <c r="D297" s="24">
        <v>512908</v>
      </c>
      <c r="E297" s="24" t="s">
        <v>617</v>
      </c>
      <c r="F297" s="24">
        <v>9699193685</v>
      </c>
      <c r="G297" s="24" t="s">
        <v>691</v>
      </c>
    </row>
    <row r="298" spans="1:7" ht="15.75" hidden="1" customHeight="1" x14ac:dyDescent="0.25">
      <c r="A298" s="24" t="s">
        <v>688</v>
      </c>
      <c r="B298" s="24" t="s">
        <v>631</v>
      </c>
      <c r="C298" s="24" t="s">
        <v>632</v>
      </c>
      <c r="D298" s="24">
        <v>512909</v>
      </c>
      <c r="E298" s="24" t="s">
        <v>617</v>
      </c>
      <c r="F298" s="24">
        <v>9699193685</v>
      </c>
      <c r="G298" s="24" t="s">
        <v>692</v>
      </c>
    </row>
    <row r="299" spans="1:7" ht="15.75" hidden="1" customHeight="1" x14ac:dyDescent="0.25">
      <c r="A299" s="24" t="s">
        <v>688</v>
      </c>
      <c r="B299" s="24" t="s">
        <v>634</v>
      </c>
      <c r="C299" s="24" t="s">
        <v>635</v>
      </c>
      <c r="D299" s="24">
        <v>512883</v>
      </c>
      <c r="E299" s="24" t="s">
        <v>617</v>
      </c>
      <c r="F299" s="24">
        <v>9699193685</v>
      </c>
      <c r="G299" s="24" t="s">
        <v>693</v>
      </c>
    </row>
    <row r="300" spans="1:7" ht="15.75" hidden="1" customHeight="1" x14ac:dyDescent="0.25">
      <c r="A300" s="24" t="s">
        <v>688</v>
      </c>
      <c r="B300" s="24" t="s">
        <v>637</v>
      </c>
      <c r="C300" s="24" t="s">
        <v>638</v>
      </c>
      <c r="D300" s="24">
        <v>512887</v>
      </c>
      <c r="E300" s="24" t="s">
        <v>617</v>
      </c>
      <c r="F300" s="24">
        <v>9699193685</v>
      </c>
      <c r="G300" s="24" t="s">
        <v>694</v>
      </c>
    </row>
    <row r="301" spans="1:7" ht="15.75" hidden="1" customHeight="1" x14ac:dyDescent="0.25">
      <c r="A301" s="24" t="s">
        <v>688</v>
      </c>
      <c r="B301" s="24" t="s">
        <v>640</v>
      </c>
      <c r="C301" s="24" t="s">
        <v>629</v>
      </c>
      <c r="D301" s="24">
        <v>512908</v>
      </c>
      <c r="E301" s="24" t="s">
        <v>617</v>
      </c>
      <c r="F301" s="24">
        <v>9699193685</v>
      </c>
      <c r="G301" s="24" t="s">
        <v>691</v>
      </c>
    </row>
    <row r="302" spans="1:7" ht="15.75" hidden="1" customHeight="1" x14ac:dyDescent="0.25">
      <c r="A302" s="24" t="s">
        <v>688</v>
      </c>
      <c r="B302" s="24" t="s">
        <v>641</v>
      </c>
      <c r="C302" s="24" t="s">
        <v>345</v>
      </c>
      <c r="D302" s="24">
        <v>512985</v>
      </c>
      <c r="E302" s="24" t="s">
        <v>617</v>
      </c>
      <c r="F302" s="24">
        <v>9699193685</v>
      </c>
      <c r="G302" s="24" t="s">
        <v>695</v>
      </c>
    </row>
    <row r="303" spans="1:7" ht="15.75" hidden="1" customHeight="1" x14ac:dyDescent="0.25">
      <c r="A303" s="24" t="s">
        <v>688</v>
      </c>
      <c r="B303" s="24" t="s">
        <v>643</v>
      </c>
      <c r="C303" s="24" t="s">
        <v>460</v>
      </c>
      <c r="D303" s="24">
        <v>512903</v>
      </c>
      <c r="E303" s="24" t="s">
        <v>617</v>
      </c>
      <c r="F303" s="24">
        <v>9699193685</v>
      </c>
      <c r="G303" s="24" t="s">
        <v>696</v>
      </c>
    </row>
    <row r="304" spans="1:7" ht="15.75" hidden="1" customHeight="1" x14ac:dyDescent="0.25">
      <c r="A304" s="24" t="s">
        <v>688</v>
      </c>
      <c r="B304" s="24" t="s">
        <v>645</v>
      </c>
      <c r="C304" s="24" t="s">
        <v>629</v>
      </c>
      <c r="D304" s="24">
        <v>512908</v>
      </c>
      <c r="E304" s="24" t="s">
        <v>617</v>
      </c>
      <c r="F304" s="24">
        <v>9699193685</v>
      </c>
      <c r="G304" s="24" t="s">
        <v>691</v>
      </c>
    </row>
    <row r="305" spans="1:7" ht="15.75" hidden="1" customHeight="1" x14ac:dyDescent="0.25">
      <c r="A305" s="24" t="s">
        <v>688</v>
      </c>
      <c r="B305" s="24" t="s">
        <v>646</v>
      </c>
      <c r="C305" s="24" t="s">
        <v>638</v>
      </c>
      <c r="D305" s="24">
        <v>512887</v>
      </c>
      <c r="E305" s="24" t="s">
        <v>617</v>
      </c>
      <c r="F305" s="24">
        <v>9699193685</v>
      </c>
      <c r="G305" s="24" t="s">
        <v>694</v>
      </c>
    </row>
    <row r="306" spans="1:7" ht="15.75" hidden="1" customHeight="1" x14ac:dyDescent="0.25">
      <c r="A306" s="24" t="s">
        <v>688</v>
      </c>
      <c r="B306" s="24" t="s">
        <v>647</v>
      </c>
      <c r="C306" s="24" t="s">
        <v>345</v>
      </c>
      <c r="D306" s="24">
        <v>512985</v>
      </c>
      <c r="E306" s="24" t="s">
        <v>617</v>
      </c>
      <c r="F306" s="24">
        <v>9699193685</v>
      </c>
      <c r="G306" s="24" t="s">
        <v>695</v>
      </c>
    </row>
    <row r="307" spans="1:7" ht="15.75" hidden="1" customHeight="1" x14ac:dyDescent="0.25">
      <c r="A307" s="24" t="s">
        <v>688</v>
      </c>
      <c r="B307" s="24" t="s">
        <v>648</v>
      </c>
      <c r="C307" s="24" t="s">
        <v>353</v>
      </c>
      <c r="D307" s="24">
        <v>512885</v>
      </c>
      <c r="E307" s="24" t="s">
        <v>617</v>
      </c>
      <c r="F307" s="24">
        <v>9699193685</v>
      </c>
      <c r="G307" s="24" t="s">
        <v>697</v>
      </c>
    </row>
    <row r="308" spans="1:7" ht="15.75" hidden="1" customHeight="1" x14ac:dyDescent="0.25">
      <c r="A308" s="24" t="s">
        <v>688</v>
      </c>
      <c r="B308" s="24" t="s">
        <v>650</v>
      </c>
      <c r="C308" s="24" t="s">
        <v>588</v>
      </c>
      <c r="D308" s="24">
        <v>512888</v>
      </c>
      <c r="E308" s="24" t="s">
        <v>617</v>
      </c>
      <c r="F308" s="24">
        <v>9699193685</v>
      </c>
      <c r="G308" s="24" t="s">
        <v>698</v>
      </c>
    </row>
    <row r="309" spans="1:7" ht="15.75" hidden="1" customHeight="1" x14ac:dyDescent="0.25">
      <c r="A309" s="24" t="s">
        <v>688</v>
      </c>
      <c r="B309" s="24" t="s">
        <v>652</v>
      </c>
      <c r="C309" s="24" t="s">
        <v>653</v>
      </c>
      <c r="D309" s="24">
        <v>512910</v>
      </c>
      <c r="E309" s="24" t="s">
        <v>617</v>
      </c>
      <c r="F309" s="24">
        <v>9699193685</v>
      </c>
      <c r="G309" s="24" t="s">
        <v>699</v>
      </c>
    </row>
    <row r="310" spans="1:7" ht="15.75" hidden="1" customHeight="1" x14ac:dyDescent="0.25">
      <c r="A310" s="24" t="s">
        <v>688</v>
      </c>
      <c r="B310" s="24" t="s">
        <v>655</v>
      </c>
      <c r="C310" s="24" t="s">
        <v>345</v>
      </c>
      <c r="D310" s="24">
        <v>512985</v>
      </c>
      <c r="E310" s="24" t="s">
        <v>617</v>
      </c>
      <c r="F310" s="24">
        <v>9699193685</v>
      </c>
      <c r="G310" s="24" t="s">
        <v>695</v>
      </c>
    </row>
    <row r="311" spans="1:7" ht="15.75" hidden="1" customHeight="1" x14ac:dyDescent="0.25">
      <c r="A311" s="24" t="s">
        <v>688</v>
      </c>
      <c r="B311" s="24" t="s">
        <v>656</v>
      </c>
      <c r="C311" s="24" t="s">
        <v>638</v>
      </c>
      <c r="D311" s="24">
        <v>512887</v>
      </c>
      <c r="E311" s="24" t="s">
        <v>617</v>
      </c>
      <c r="F311" s="24">
        <v>9699193685</v>
      </c>
      <c r="G311" s="24" t="s">
        <v>694</v>
      </c>
    </row>
    <row r="312" spans="1:7" ht="15.75" hidden="1" customHeight="1" x14ac:dyDescent="0.25">
      <c r="A312" s="24" t="s">
        <v>688</v>
      </c>
      <c r="B312" s="24" t="s">
        <v>657</v>
      </c>
      <c r="C312" s="24" t="s">
        <v>353</v>
      </c>
      <c r="D312" s="24">
        <v>512885</v>
      </c>
      <c r="E312" s="24" t="s">
        <v>617</v>
      </c>
      <c r="F312" s="24">
        <v>9699193685</v>
      </c>
      <c r="G312" s="24" t="s">
        <v>697</v>
      </c>
    </row>
    <row r="313" spans="1:7" ht="15.75" hidden="1" customHeight="1" x14ac:dyDescent="0.25">
      <c r="A313" s="24" t="s">
        <v>688</v>
      </c>
      <c r="B313" s="24" t="s">
        <v>658</v>
      </c>
      <c r="C313" s="24" t="s">
        <v>638</v>
      </c>
      <c r="D313" s="24">
        <v>512887</v>
      </c>
      <c r="E313" s="24" t="s">
        <v>617</v>
      </c>
      <c r="F313" s="24">
        <v>9699193685</v>
      </c>
      <c r="G313" s="24" t="s">
        <v>694</v>
      </c>
    </row>
    <row r="314" spans="1:7" ht="15.75" hidden="1" customHeight="1" x14ac:dyDescent="0.25">
      <c r="A314" s="24" t="s">
        <v>688</v>
      </c>
      <c r="B314" s="24" t="s">
        <v>643</v>
      </c>
      <c r="C314" s="24" t="s">
        <v>659</v>
      </c>
      <c r="D314" s="24">
        <v>512903</v>
      </c>
      <c r="E314" s="24" t="s">
        <v>617</v>
      </c>
      <c r="F314" s="24">
        <v>9699193685</v>
      </c>
      <c r="G314" s="24" t="s">
        <v>700</v>
      </c>
    </row>
    <row r="315" spans="1:7" ht="15.75" hidden="1" customHeight="1" x14ac:dyDescent="0.25">
      <c r="A315" s="24" t="s">
        <v>688</v>
      </c>
      <c r="B315" s="24" t="s">
        <v>661</v>
      </c>
      <c r="C315" s="24" t="s">
        <v>353</v>
      </c>
      <c r="D315" s="24">
        <v>512885</v>
      </c>
      <c r="E315" s="24" t="s">
        <v>617</v>
      </c>
      <c r="F315" s="24">
        <v>9699193685</v>
      </c>
      <c r="G315" s="24" t="s">
        <v>697</v>
      </c>
    </row>
    <row r="316" spans="1:7" ht="15.75" hidden="1" customHeight="1" x14ac:dyDescent="0.25">
      <c r="A316" s="24" t="s">
        <v>688</v>
      </c>
      <c r="B316" s="24" t="s">
        <v>662</v>
      </c>
      <c r="C316" s="24" t="s">
        <v>353</v>
      </c>
      <c r="D316" s="24">
        <v>512885</v>
      </c>
      <c r="E316" s="24" t="s">
        <v>617</v>
      </c>
      <c r="F316" s="24">
        <v>9699193685</v>
      </c>
      <c r="G316" s="24" t="s">
        <v>697</v>
      </c>
    </row>
    <row r="317" spans="1:7" ht="15.75" hidden="1" customHeight="1" x14ac:dyDescent="0.25">
      <c r="A317" s="24" t="s">
        <v>688</v>
      </c>
      <c r="B317" s="24" t="s">
        <v>650</v>
      </c>
      <c r="C317" s="24" t="s">
        <v>588</v>
      </c>
      <c r="D317" s="24">
        <v>512888</v>
      </c>
      <c r="E317" s="24" t="s">
        <v>617</v>
      </c>
      <c r="F317" s="24">
        <v>9699193685</v>
      </c>
      <c r="G317" s="24" t="s">
        <v>698</v>
      </c>
    </row>
    <row r="318" spans="1:7" ht="15.75" hidden="1" customHeight="1" x14ac:dyDescent="0.25">
      <c r="A318" s="24" t="s">
        <v>688</v>
      </c>
      <c r="B318" s="24" t="s">
        <v>655</v>
      </c>
      <c r="C318" s="24" t="s">
        <v>345</v>
      </c>
      <c r="D318" s="24">
        <v>512985</v>
      </c>
      <c r="E318" s="24" t="s">
        <v>617</v>
      </c>
      <c r="F318" s="24">
        <v>9699193685</v>
      </c>
      <c r="G318" s="24" t="s">
        <v>695</v>
      </c>
    </row>
    <row r="319" spans="1:7" ht="15.75" hidden="1" customHeight="1" x14ac:dyDescent="0.25">
      <c r="A319" s="24" t="s">
        <v>688</v>
      </c>
      <c r="B319" s="24" t="s">
        <v>647</v>
      </c>
      <c r="C319" s="24" t="s">
        <v>345</v>
      </c>
      <c r="D319" s="24">
        <v>512985</v>
      </c>
      <c r="E319" s="24" t="s">
        <v>617</v>
      </c>
      <c r="F319" s="24">
        <v>9699193685</v>
      </c>
      <c r="G319" s="24" t="s">
        <v>695</v>
      </c>
    </row>
    <row r="320" spans="1:7" ht="15.75" hidden="1" customHeight="1" x14ac:dyDescent="0.25">
      <c r="A320" s="24" t="s">
        <v>688</v>
      </c>
      <c r="B320" s="24" t="s">
        <v>663</v>
      </c>
      <c r="C320" s="24" t="s">
        <v>635</v>
      </c>
      <c r="D320" s="24">
        <v>512883</v>
      </c>
      <c r="E320" s="24" t="s">
        <v>617</v>
      </c>
      <c r="F320" s="24">
        <v>9699193685</v>
      </c>
      <c r="G320" s="24" t="s">
        <v>693</v>
      </c>
    </row>
    <row r="321" spans="1:7" ht="15.75" hidden="1" customHeight="1" x14ac:dyDescent="0.25">
      <c r="A321" s="24" t="s">
        <v>688</v>
      </c>
      <c r="B321" s="24" t="s">
        <v>637</v>
      </c>
      <c r="C321" s="24" t="s">
        <v>638</v>
      </c>
      <c r="D321" s="24">
        <v>512887</v>
      </c>
      <c r="E321" s="24" t="s">
        <v>617</v>
      </c>
      <c r="F321" s="24">
        <v>9699193685</v>
      </c>
      <c r="G321" s="24" t="s">
        <v>694</v>
      </c>
    </row>
    <row r="322" spans="1:7" ht="15.75" hidden="1" customHeight="1" x14ac:dyDescent="0.25">
      <c r="A322" s="24" t="s">
        <v>688</v>
      </c>
      <c r="B322" s="24" t="s">
        <v>652</v>
      </c>
      <c r="C322" s="24" t="s">
        <v>653</v>
      </c>
      <c r="D322" s="24">
        <v>512910</v>
      </c>
      <c r="E322" s="24" t="s">
        <v>617</v>
      </c>
      <c r="F322" s="24">
        <v>9699193685</v>
      </c>
      <c r="G322" s="24" t="s">
        <v>699</v>
      </c>
    </row>
    <row r="323" spans="1:7" ht="15.75" hidden="1" customHeight="1" x14ac:dyDescent="0.25">
      <c r="A323" s="24" t="s">
        <v>688</v>
      </c>
      <c r="B323" s="24" t="s">
        <v>631</v>
      </c>
      <c r="C323" s="24" t="s">
        <v>632</v>
      </c>
      <c r="D323" s="24">
        <v>512909</v>
      </c>
      <c r="E323" s="24" t="s">
        <v>617</v>
      </c>
      <c r="F323" s="24">
        <v>9699193685</v>
      </c>
      <c r="G323" s="24" t="s">
        <v>692</v>
      </c>
    </row>
    <row r="324" spans="1:7" ht="15.75" hidden="1" customHeight="1" x14ac:dyDescent="0.25">
      <c r="A324" s="24" t="s">
        <v>688</v>
      </c>
      <c r="B324" s="24" t="s">
        <v>628</v>
      </c>
      <c r="C324" s="24" t="s">
        <v>629</v>
      </c>
      <c r="D324" s="24">
        <v>512908</v>
      </c>
      <c r="E324" s="24" t="s">
        <v>617</v>
      </c>
      <c r="F324" s="24">
        <v>9699193685</v>
      </c>
      <c r="G324" s="24" t="s">
        <v>691</v>
      </c>
    </row>
    <row r="325" spans="1:7" ht="15.75" hidden="1" customHeight="1" x14ac:dyDescent="0.25">
      <c r="A325" s="24" t="s">
        <v>688</v>
      </c>
      <c r="B325" s="24" t="s">
        <v>646</v>
      </c>
      <c r="C325" s="24" t="s">
        <v>638</v>
      </c>
      <c r="D325" s="24">
        <v>512887</v>
      </c>
      <c r="E325" s="24" t="s">
        <v>617</v>
      </c>
      <c r="F325" s="24">
        <v>9699193685</v>
      </c>
      <c r="G325" s="24" t="s">
        <v>694</v>
      </c>
    </row>
    <row r="326" spans="1:7" ht="15.75" hidden="1" customHeight="1" x14ac:dyDescent="0.25">
      <c r="A326" s="24" t="s">
        <v>688</v>
      </c>
      <c r="B326" s="24" t="s">
        <v>664</v>
      </c>
      <c r="C326" s="24" t="s">
        <v>353</v>
      </c>
      <c r="D326" s="24">
        <v>512885</v>
      </c>
      <c r="E326" s="24" t="s">
        <v>617</v>
      </c>
      <c r="F326" s="24">
        <v>9699193685</v>
      </c>
      <c r="G326" s="24" t="s">
        <v>697</v>
      </c>
    </row>
    <row r="327" spans="1:7" ht="15.75" hidden="1" customHeight="1" x14ac:dyDescent="0.25">
      <c r="A327" s="24" t="s">
        <v>688</v>
      </c>
      <c r="B327" s="24" t="s">
        <v>665</v>
      </c>
      <c r="C327" s="24" t="s">
        <v>666</v>
      </c>
      <c r="D327" s="24">
        <v>512907</v>
      </c>
      <c r="E327" s="24" t="s">
        <v>617</v>
      </c>
      <c r="F327" s="24">
        <v>9699193685</v>
      </c>
      <c r="G327" s="24" t="s">
        <v>701</v>
      </c>
    </row>
    <row r="328" spans="1:7" ht="15.75" hidden="1" customHeight="1" x14ac:dyDescent="0.25">
      <c r="A328" s="24" t="s">
        <v>688</v>
      </c>
      <c r="B328" s="24" t="s">
        <v>668</v>
      </c>
      <c r="C328" s="24" t="s">
        <v>669</v>
      </c>
      <c r="D328" s="24">
        <v>512904</v>
      </c>
      <c r="E328" s="24" t="s">
        <v>617</v>
      </c>
      <c r="F328" s="24">
        <v>9699193685</v>
      </c>
      <c r="G328" s="24" t="s">
        <v>702</v>
      </c>
    </row>
    <row r="329" spans="1:7" ht="15.75" hidden="1" customHeight="1" x14ac:dyDescent="0.25">
      <c r="A329" s="24" t="s">
        <v>688</v>
      </c>
      <c r="B329" s="24" t="s">
        <v>671</v>
      </c>
      <c r="C329" s="24" t="s">
        <v>353</v>
      </c>
      <c r="D329" s="24">
        <v>512885</v>
      </c>
      <c r="E329" s="24" t="s">
        <v>617</v>
      </c>
      <c r="F329" s="24">
        <v>9699193685</v>
      </c>
      <c r="G329" s="24" t="s">
        <v>697</v>
      </c>
    </row>
    <row r="330" spans="1:7" ht="15.75" hidden="1" customHeight="1" x14ac:dyDescent="0.25">
      <c r="A330" s="24" t="s">
        <v>688</v>
      </c>
      <c r="B330" s="24" t="s">
        <v>672</v>
      </c>
      <c r="C330" s="24" t="s">
        <v>353</v>
      </c>
      <c r="D330" s="24">
        <v>512885</v>
      </c>
      <c r="E330" s="24" t="s">
        <v>617</v>
      </c>
      <c r="F330" s="24">
        <v>9699193685</v>
      </c>
      <c r="G330" s="24" t="s">
        <v>697</v>
      </c>
    </row>
    <row r="331" spans="1:7" ht="15.75" hidden="1" customHeight="1" x14ac:dyDescent="0.25">
      <c r="A331" s="24" t="s">
        <v>703</v>
      </c>
      <c r="B331" s="24" t="s">
        <v>615</v>
      </c>
      <c r="C331" s="24" t="s">
        <v>616</v>
      </c>
      <c r="D331" s="24">
        <v>612105</v>
      </c>
      <c r="E331" s="24" t="s">
        <v>617</v>
      </c>
      <c r="F331" s="24">
        <v>9699193685</v>
      </c>
      <c r="G331" s="24" t="s">
        <v>704</v>
      </c>
    </row>
    <row r="332" spans="1:7" ht="15.75" hidden="1" customHeight="1" x14ac:dyDescent="0.25">
      <c r="A332" s="24" t="s">
        <v>703</v>
      </c>
      <c r="B332" s="24" t="s">
        <v>619</v>
      </c>
      <c r="C332" s="24" t="s">
        <v>616</v>
      </c>
      <c r="D332" s="24">
        <v>612105</v>
      </c>
      <c r="E332" s="24" t="s">
        <v>617</v>
      </c>
      <c r="F332" s="24">
        <v>9699193685</v>
      </c>
      <c r="G332" s="24" t="s">
        <v>704</v>
      </c>
    </row>
    <row r="333" spans="1:7" ht="15.75" hidden="1" customHeight="1" x14ac:dyDescent="0.25">
      <c r="A333" s="24" t="s">
        <v>703</v>
      </c>
      <c r="B333" s="24" t="s">
        <v>620</v>
      </c>
      <c r="C333" s="24" t="s">
        <v>616</v>
      </c>
      <c r="D333" s="24">
        <v>612105</v>
      </c>
      <c r="E333" s="24" t="s">
        <v>617</v>
      </c>
      <c r="F333" s="24">
        <v>9699193685</v>
      </c>
      <c r="G333" s="24" t="s">
        <v>704</v>
      </c>
    </row>
    <row r="334" spans="1:7" ht="15.75" hidden="1" customHeight="1" x14ac:dyDescent="0.25">
      <c r="A334" s="24" t="s">
        <v>703</v>
      </c>
      <c r="B334" s="24" t="s">
        <v>621</v>
      </c>
      <c r="C334" s="24" t="s">
        <v>616</v>
      </c>
      <c r="D334" s="24">
        <v>612105</v>
      </c>
      <c r="E334" s="24" t="s">
        <v>617</v>
      </c>
      <c r="F334" s="24">
        <v>9699193685</v>
      </c>
      <c r="G334" s="24" t="s">
        <v>704</v>
      </c>
    </row>
    <row r="335" spans="1:7" ht="15.75" hidden="1" customHeight="1" x14ac:dyDescent="0.25">
      <c r="A335" s="24" t="s">
        <v>703</v>
      </c>
      <c r="B335" s="24" t="s">
        <v>622</v>
      </c>
      <c r="C335" s="24" t="s">
        <v>616</v>
      </c>
      <c r="D335" s="24">
        <v>612105</v>
      </c>
      <c r="E335" s="24" t="s">
        <v>617</v>
      </c>
      <c r="F335" s="24">
        <v>9699193685</v>
      </c>
      <c r="G335" s="24" t="s">
        <v>704</v>
      </c>
    </row>
    <row r="336" spans="1:7" ht="15.75" hidden="1" customHeight="1" x14ac:dyDescent="0.25">
      <c r="A336" s="24" t="s">
        <v>703</v>
      </c>
      <c r="B336" s="24" t="s">
        <v>623</v>
      </c>
      <c r="C336" s="24" t="s">
        <v>616</v>
      </c>
      <c r="D336" s="24">
        <v>612105</v>
      </c>
      <c r="E336" s="24" t="s">
        <v>617</v>
      </c>
      <c r="F336" s="24">
        <v>9699193685</v>
      </c>
      <c r="G336" s="24" t="s">
        <v>704</v>
      </c>
    </row>
    <row r="337" spans="1:7" ht="15.75" hidden="1" customHeight="1" x14ac:dyDescent="0.25">
      <c r="A337" s="24" t="s">
        <v>703</v>
      </c>
      <c r="B337" s="24" t="s">
        <v>624</v>
      </c>
      <c r="C337" s="24" t="s">
        <v>616</v>
      </c>
      <c r="D337" s="24">
        <v>612105</v>
      </c>
      <c r="E337" s="24" t="s">
        <v>617</v>
      </c>
      <c r="F337" s="24">
        <v>9699193685</v>
      </c>
      <c r="G337" s="24" t="s">
        <v>704</v>
      </c>
    </row>
    <row r="338" spans="1:7" ht="15.75" hidden="1" customHeight="1" x14ac:dyDescent="0.25">
      <c r="A338" s="24" t="s">
        <v>703</v>
      </c>
      <c r="B338" s="24" t="s">
        <v>625</v>
      </c>
      <c r="C338" s="24" t="s">
        <v>626</v>
      </c>
      <c r="D338" s="24">
        <v>512901</v>
      </c>
      <c r="E338" s="24" t="s">
        <v>617</v>
      </c>
      <c r="F338" s="24">
        <v>9699193685</v>
      </c>
      <c r="G338" s="24" t="s">
        <v>705</v>
      </c>
    </row>
    <row r="339" spans="1:7" ht="15.75" hidden="1" customHeight="1" x14ac:dyDescent="0.25">
      <c r="A339" s="24" t="s">
        <v>703</v>
      </c>
      <c r="B339" s="24" t="s">
        <v>628</v>
      </c>
      <c r="C339" s="24" t="s">
        <v>629</v>
      </c>
      <c r="D339" s="24">
        <v>512908</v>
      </c>
      <c r="E339" s="24" t="s">
        <v>617</v>
      </c>
      <c r="F339" s="24">
        <v>9699193685</v>
      </c>
      <c r="G339" s="24" t="s">
        <v>706</v>
      </c>
    </row>
    <row r="340" spans="1:7" ht="15.75" hidden="1" customHeight="1" x14ac:dyDescent="0.25">
      <c r="A340" s="24" t="s">
        <v>703</v>
      </c>
      <c r="B340" s="24" t="s">
        <v>631</v>
      </c>
      <c r="C340" s="24" t="s">
        <v>632</v>
      </c>
      <c r="D340" s="24">
        <v>512909</v>
      </c>
      <c r="E340" s="24" t="s">
        <v>617</v>
      </c>
      <c r="F340" s="24">
        <v>9699193685</v>
      </c>
      <c r="G340" s="24" t="s">
        <v>707</v>
      </c>
    </row>
    <row r="341" spans="1:7" ht="15.75" hidden="1" customHeight="1" x14ac:dyDescent="0.25">
      <c r="A341" s="24" t="s">
        <v>703</v>
      </c>
      <c r="B341" s="24" t="s">
        <v>634</v>
      </c>
      <c r="C341" s="24" t="s">
        <v>635</v>
      </c>
      <c r="D341" s="24">
        <v>512883</v>
      </c>
      <c r="E341" s="24" t="s">
        <v>617</v>
      </c>
      <c r="F341" s="24">
        <v>9699193685</v>
      </c>
      <c r="G341" s="24" t="s">
        <v>708</v>
      </c>
    </row>
    <row r="342" spans="1:7" ht="15.75" hidden="1" customHeight="1" x14ac:dyDescent="0.25">
      <c r="A342" s="24" t="s">
        <v>703</v>
      </c>
      <c r="B342" s="24" t="s">
        <v>637</v>
      </c>
      <c r="C342" s="24" t="s">
        <v>638</v>
      </c>
      <c r="D342" s="24">
        <v>512887</v>
      </c>
      <c r="E342" s="24" t="s">
        <v>617</v>
      </c>
      <c r="F342" s="24">
        <v>9699193685</v>
      </c>
      <c r="G342" s="24" t="s">
        <v>709</v>
      </c>
    </row>
    <row r="343" spans="1:7" ht="15.75" hidden="1" customHeight="1" x14ac:dyDescent="0.25">
      <c r="A343" s="24" t="s">
        <v>703</v>
      </c>
      <c r="B343" s="24" t="s">
        <v>640</v>
      </c>
      <c r="C343" s="24" t="s">
        <v>629</v>
      </c>
      <c r="D343" s="24">
        <v>512908</v>
      </c>
      <c r="E343" s="24" t="s">
        <v>617</v>
      </c>
      <c r="F343" s="24">
        <v>9699193685</v>
      </c>
      <c r="G343" s="24" t="s">
        <v>706</v>
      </c>
    </row>
    <row r="344" spans="1:7" ht="15.75" hidden="1" customHeight="1" x14ac:dyDescent="0.25">
      <c r="A344" s="24" t="s">
        <v>703</v>
      </c>
      <c r="B344" s="24" t="s">
        <v>641</v>
      </c>
      <c r="C344" s="24" t="s">
        <v>345</v>
      </c>
      <c r="D344" s="24">
        <v>512985</v>
      </c>
      <c r="E344" s="24" t="s">
        <v>617</v>
      </c>
      <c r="F344" s="24">
        <v>9699193685</v>
      </c>
      <c r="G344" s="24" t="s">
        <v>710</v>
      </c>
    </row>
    <row r="345" spans="1:7" ht="15.75" hidden="1" customHeight="1" x14ac:dyDescent="0.25">
      <c r="A345" s="24" t="s">
        <v>703</v>
      </c>
      <c r="B345" s="24" t="s">
        <v>643</v>
      </c>
      <c r="C345" s="24" t="s">
        <v>460</v>
      </c>
      <c r="D345" s="24">
        <v>512903</v>
      </c>
      <c r="E345" s="24" t="s">
        <v>617</v>
      </c>
      <c r="F345" s="24">
        <v>9699193685</v>
      </c>
      <c r="G345" s="24" t="s">
        <v>711</v>
      </c>
    </row>
    <row r="346" spans="1:7" ht="15.75" hidden="1" customHeight="1" x14ac:dyDescent="0.25">
      <c r="A346" s="24" t="s">
        <v>703</v>
      </c>
      <c r="B346" s="24" t="s">
        <v>645</v>
      </c>
      <c r="C346" s="24" t="s">
        <v>629</v>
      </c>
      <c r="D346" s="24">
        <v>512908</v>
      </c>
      <c r="E346" s="24" t="s">
        <v>617</v>
      </c>
      <c r="F346" s="24">
        <v>9699193685</v>
      </c>
      <c r="G346" s="24" t="s">
        <v>706</v>
      </c>
    </row>
    <row r="347" spans="1:7" ht="15.75" hidden="1" customHeight="1" x14ac:dyDescent="0.25">
      <c r="A347" s="24" t="s">
        <v>703</v>
      </c>
      <c r="B347" s="24" t="s">
        <v>646</v>
      </c>
      <c r="C347" s="24" t="s">
        <v>638</v>
      </c>
      <c r="D347" s="24">
        <v>512887</v>
      </c>
      <c r="E347" s="24" t="s">
        <v>617</v>
      </c>
      <c r="F347" s="24">
        <v>9699193685</v>
      </c>
      <c r="G347" s="24" t="s">
        <v>709</v>
      </c>
    </row>
    <row r="348" spans="1:7" ht="15.75" hidden="1" customHeight="1" x14ac:dyDescent="0.25">
      <c r="A348" s="24" t="s">
        <v>703</v>
      </c>
      <c r="B348" s="24" t="s">
        <v>647</v>
      </c>
      <c r="C348" s="24" t="s">
        <v>345</v>
      </c>
      <c r="D348" s="24">
        <v>512985</v>
      </c>
      <c r="E348" s="24" t="s">
        <v>617</v>
      </c>
      <c r="F348" s="24">
        <v>9699193685</v>
      </c>
      <c r="G348" s="24" t="s">
        <v>710</v>
      </c>
    </row>
    <row r="349" spans="1:7" ht="15.75" hidden="1" customHeight="1" x14ac:dyDescent="0.25">
      <c r="A349" s="24" t="s">
        <v>703</v>
      </c>
      <c r="B349" s="24" t="s">
        <v>648</v>
      </c>
      <c r="C349" s="24" t="s">
        <v>353</v>
      </c>
      <c r="D349" s="24">
        <v>512885</v>
      </c>
      <c r="E349" s="24" t="s">
        <v>617</v>
      </c>
      <c r="F349" s="24">
        <v>9699193685</v>
      </c>
      <c r="G349" s="24" t="s">
        <v>712</v>
      </c>
    </row>
    <row r="350" spans="1:7" ht="15.75" hidden="1" customHeight="1" x14ac:dyDescent="0.25">
      <c r="A350" s="24" t="s">
        <v>703</v>
      </c>
      <c r="B350" s="24" t="s">
        <v>650</v>
      </c>
      <c r="C350" s="24" t="s">
        <v>588</v>
      </c>
      <c r="D350" s="24">
        <v>512888</v>
      </c>
      <c r="E350" s="24" t="s">
        <v>617</v>
      </c>
      <c r="F350" s="24">
        <v>9699193685</v>
      </c>
      <c r="G350" s="24" t="s">
        <v>713</v>
      </c>
    </row>
    <row r="351" spans="1:7" ht="15.75" hidden="1" customHeight="1" x14ac:dyDescent="0.25">
      <c r="A351" s="24" t="s">
        <v>703</v>
      </c>
      <c r="B351" s="24" t="s">
        <v>652</v>
      </c>
      <c r="C351" s="24" t="s">
        <v>653</v>
      </c>
      <c r="D351" s="24">
        <v>512910</v>
      </c>
      <c r="E351" s="24" t="s">
        <v>617</v>
      </c>
      <c r="F351" s="24">
        <v>9699193685</v>
      </c>
      <c r="G351" s="24" t="s">
        <v>714</v>
      </c>
    </row>
    <row r="352" spans="1:7" ht="15.75" hidden="1" customHeight="1" x14ac:dyDescent="0.25">
      <c r="A352" s="24" t="s">
        <v>703</v>
      </c>
      <c r="B352" s="24" t="s">
        <v>655</v>
      </c>
      <c r="C352" s="24" t="s">
        <v>345</v>
      </c>
      <c r="D352" s="24">
        <v>512985</v>
      </c>
      <c r="E352" s="24" t="s">
        <v>617</v>
      </c>
      <c r="F352" s="24">
        <v>9699193685</v>
      </c>
      <c r="G352" s="24" t="s">
        <v>710</v>
      </c>
    </row>
    <row r="353" spans="1:7" ht="15.75" hidden="1" customHeight="1" x14ac:dyDescent="0.25">
      <c r="A353" s="24" t="s">
        <v>703</v>
      </c>
      <c r="B353" s="24" t="s">
        <v>656</v>
      </c>
      <c r="C353" s="24" t="s">
        <v>638</v>
      </c>
      <c r="D353" s="24">
        <v>512887</v>
      </c>
      <c r="E353" s="24" t="s">
        <v>617</v>
      </c>
      <c r="F353" s="24">
        <v>9699193685</v>
      </c>
      <c r="G353" s="24" t="s">
        <v>709</v>
      </c>
    </row>
    <row r="354" spans="1:7" ht="15.75" hidden="1" customHeight="1" x14ac:dyDescent="0.25">
      <c r="A354" s="24" t="s">
        <v>703</v>
      </c>
      <c r="B354" s="24" t="s">
        <v>657</v>
      </c>
      <c r="C354" s="24" t="s">
        <v>353</v>
      </c>
      <c r="D354" s="24">
        <v>512885</v>
      </c>
      <c r="E354" s="24" t="s">
        <v>617</v>
      </c>
      <c r="F354" s="24">
        <v>9699193685</v>
      </c>
      <c r="G354" s="24" t="s">
        <v>712</v>
      </c>
    </row>
    <row r="355" spans="1:7" ht="15.75" hidden="1" customHeight="1" x14ac:dyDescent="0.25">
      <c r="A355" s="24" t="s">
        <v>703</v>
      </c>
      <c r="B355" s="24" t="s">
        <v>658</v>
      </c>
      <c r="C355" s="24" t="s">
        <v>638</v>
      </c>
      <c r="D355" s="24">
        <v>512887</v>
      </c>
      <c r="E355" s="24" t="s">
        <v>617</v>
      </c>
      <c r="F355" s="24">
        <v>9699193685</v>
      </c>
      <c r="G355" s="24" t="s">
        <v>709</v>
      </c>
    </row>
    <row r="356" spans="1:7" ht="15.75" hidden="1" customHeight="1" x14ac:dyDescent="0.25">
      <c r="A356" s="24" t="s">
        <v>703</v>
      </c>
      <c r="B356" s="24" t="s">
        <v>643</v>
      </c>
      <c r="C356" s="24" t="s">
        <v>659</v>
      </c>
      <c r="D356" s="24">
        <v>512903</v>
      </c>
      <c r="E356" s="24" t="s">
        <v>617</v>
      </c>
      <c r="F356" s="24">
        <v>9699193685</v>
      </c>
      <c r="G356" s="24" t="s">
        <v>715</v>
      </c>
    </row>
    <row r="357" spans="1:7" ht="15.75" hidden="1" customHeight="1" x14ac:dyDescent="0.25">
      <c r="A357" s="24" t="s">
        <v>703</v>
      </c>
      <c r="B357" s="24" t="s">
        <v>661</v>
      </c>
      <c r="C357" s="24" t="s">
        <v>353</v>
      </c>
      <c r="D357" s="24">
        <v>512885</v>
      </c>
      <c r="E357" s="24" t="s">
        <v>617</v>
      </c>
      <c r="F357" s="24">
        <v>9699193685</v>
      </c>
      <c r="G357" s="24" t="s">
        <v>712</v>
      </c>
    </row>
    <row r="358" spans="1:7" ht="15.75" hidden="1" customHeight="1" x14ac:dyDescent="0.25">
      <c r="A358" s="24" t="s">
        <v>703</v>
      </c>
      <c r="B358" s="24" t="s">
        <v>662</v>
      </c>
      <c r="C358" s="24" t="s">
        <v>353</v>
      </c>
      <c r="D358" s="24">
        <v>512885</v>
      </c>
      <c r="E358" s="24" t="s">
        <v>617</v>
      </c>
      <c r="F358" s="24">
        <v>9699193685</v>
      </c>
      <c r="G358" s="24" t="s">
        <v>712</v>
      </c>
    </row>
    <row r="359" spans="1:7" ht="15.75" hidden="1" customHeight="1" x14ac:dyDescent="0.25">
      <c r="A359" s="24" t="s">
        <v>703</v>
      </c>
      <c r="B359" s="24" t="s">
        <v>650</v>
      </c>
      <c r="C359" s="24" t="s">
        <v>588</v>
      </c>
      <c r="D359" s="24">
        <v>512888</v>
      </c>
      <c r="E359" s="24" t="s">
        <v>617</v>
      </c>
      <c r="F359" s="24">
        <v>9699193685</v>
      </c>
      <c r="G359" s="24" t="s">
        <v>713</v>
      </c>
    </row>
    <row r="360" spans="1:7" ht="15.75" hidden="1" customHeight="1" x14ac:dyDescent="0.25">
      <c r="A360" s="24" t="s">
        <v>703</v>
      </c>
      <c r="B360" s="24" t="s">
        <v>655</v>
      </c>
      <c r="C360" s="24" t="s">
        <v>345</v>
      </c>
      <c r="D360" s="24">
        <v>512985</v>
      </c>
      <c r="E360" s="24" t="s">
        <v>617</v>
      </c>
      <c r="F360" s="24">
        <v>9699193685</v>
      </c>
      <c r="G360" s="24" t="s">
        <v>710</v>
      </c>
    </row>
    <row r="361" spans="1:7" ht="15.75" hidden="1" customHeight="1" x14ac:dyDescent="0.25">
      <c r="A361" s="24" t="s">
        <v>703</v>
      </c>
      <c r="B361" s="24" t="s">
        <v>647</v>
      </c>
      <c r="C361" s="24" t="s">
        <v>345</v>
      </c>
      <c r="D361" s="24">
        <v>512985</v>
      </c>
      <c r="E361" s="24" t="s">
        <v>617</v>
      </c>
      <c r="F361" s="24">
        <v>9699193685</v>
      </c>
      <c r="G361" s="24" t="s">
        <v>710</v>
      </c>
    </row>
    <row r="362" spans="1:7" ht="15.75" hidden="1" customHeight="1" x14ac:dyDescent="0.25">
      <c r="A362" s="24" t="s">
        <v>703</v>
      </c>
      <c r="B362" s="24" t="s">
        <v>663</v>
      </c>
      <c r="C362" s="24" t="s">
        <v>635</v>
      </c>
      <c r="D362" s="24">
        <v>512883</v>
      </c>
      <c r="E362" s="24" t="s">
        <v>617</v>
      </c>
      <c r="F362" s="24">
        <v>9699193685</v>
      </c>
      <c r="G362" s="24" t="s">
        <v>708</v>
      </c>
    </row>
    <row r="363" spans="1:7" ht="15.75" hidden="1" customHeight="1" x14ac:dyDescent="0.25">
      <c r="A363" s="24" t="s">
        <v>703</v>
      </c>
      <c r="B363" s="24" t="s">
        <v>637</v>
      </c>
      <c r="C363" s="24" t="s">
        <v>638</v>
      </c>
      <c r="D363" s="24">
        <v>512887</v>
      </c>
      <c r="E363" s="24" t="s">
        <v>617</v>
      </c>
      <c r="F363" s="24">
        <v>9699193685</v>
      </c>
      <c r="G363" s="24" t="s">
        <v>709</v>
      </c>
    </row>
    <row r="364" spans="1:7" ht="15.75" hidden="1" customHeight="1" x14ac:dyDescent="0.25">
      <c r="A364" s="24" t="s">
        <v>703</v>
      </c>
      <c r="B364" s="24" t="s">
        <v>652</v>
      </c>
      <c r="C364" s="24" t="s">
        <v>653</v>
      </c>
      <c r="D364" s="24">
        <v>512910</v>
      </c>
      <c r="E364" s="24" t="s">
        <v>617</v>
      </c>
      <c r="F364" s="24">
        <v>9699193685</v>
      </c>
      <c r="G364" s="24" t="s">
        <v>714</v>
      </c>
    </row>
    <row r="365" spans="1:7" ht="15.75" hidden="1" customHeight="1" x14ac:dyDescent="0.25">
      <c r="A365" s="24" t="s">
        <v>703</v>
      </c>
      <c r="B365" s="24" t="s">
        <v>631</v>
      </c>
      <c r="C365" s="24" t="s">
        <v>632</v>
      </c>
      <c r="D365" s="24">
        <v>512909</v>
      </c>
      <c r="E365" s="24" t="s">
        <v>617</v>
      </c>
      <c r="F365" s="24">
        <v>9699193685</v>
      </c>
      <c r="G365" s="24" t="s">
        <v>707</v>
      </c>
    </row>
    <row r="366" spans="1:7" ht="15.75" hidden="1" customHeight="1" x14ac:dyDescent="0.25">
      <c r="A366" s="24" t="s">
        <v>703</v>
      </c>
      <c r="B366" s="24" t="s">
        <v>628</v>
      </c>
      <c r="C366" s="24" t="s">
        <v>629</v>
      </c>
      <c r="D366" s="24">
        <v>512908</v>
      </c>
      <c r="E366" s="24" t="s">
        <v>617</v>
      </c>
      <c r="F366" s="24">
        <v>9699193685</v>
      </c>
      <c r="G366" s="24" t="s">
        <v>706</v>
      </c>
    </row>
    <row r="367" spans="1:7" ht="15.75" hidden="1" customHeight="1" x14ac:dyDescent="0.25">
      <c r="A367" s="24" t="s">
        <v>703</v>
      </c>
      <c r="B367" s="24" t="s">
        <v>646</v>
      </c>
      <c r="C367" s="24" t="s">
        <v>638</v>
      </c>
      <c r="D367" s="24">
        <v>512887</v>
      </c>
      <c r="E367" s="24" t="s">
        <v>617</v>
      </c>
      <c r="F367" s="24">
        <v>9699193685</v>
      </c>
      <c r="G367" s="24" t="s">
        <v>709</v>
      </c>
    </row>
    <row r="368" spans="1:7" ht="15.75" hidden="1" customHeight="1" x14ac:dyDescent="0.25">
      <c r="A368" s="24" t="s">
        <v>703</v>
      </c>
      <c r="B368" s="24" t="s">
        <v>664</v>
      </c>
      <c r="C368" s="24" t="s">
        <v>353</v>
      </c>
      <c r="D368" s="24">
        <v>512885</v>
      </c>
      <c r="E368" s="24" t="s">
        <v>617</v>
      </c>
      <c r="F368" s="24">
        <v>9699193685</v>
      </c>
      <c r="G368" s="24" t="s">
        <v>712</v>
      </c>
    </row>
    <row r="369" spans="1:7" ht="15.75" hidden="1" customHeight="1" x14ac:dyDescent="0.25">
      <c r="A369" s="24" t="s">
        <v>703</v>
      </c>
      <c r="B369" s="24" t="s">
        <v>665</v>
      </c>
      <c r="C369" s="24" t="s">
        <v>666</v>
      </c>
      <c r="D369" s="24">
        <v>512907</v>
      </c>
      <c r="E369" s="24" t="s">
        <v>617</v>
      </c>
      <c r="F369" s="24">
        <v>9699193685</v>
      </c>
      <c r="G369" s="24" t="s">
        <v>716</v>
      </c>
    </row>
    <row r="370" spans="1:7" ht="15.75" hidden="1" customHeight="1" x14ac:dyDescent="0.25">
      <c r="A370" s="24" t="s">
        <v>703</v>
      </c>
      <c r="B370" s="24" t="s">
        <v>668</v>
      </c>
      <c r="C370" s="24" t="s">
        <v>669</v>
      </c>
      <c r="D370" s="24">
        <v>512904</v>
      </c>
      <c r="E370" s="24" t="s">
        <v>617</v>
      </c>
      <c r="F370" s="24">
        <v>9699193685</v>
      </c>
      <c r="G370" s="24" t="s">
        <v>717</v>
      </c>
    </row>
    <row r="371" spans="1:7" ht="15.75" hidden="1" customHeight="1" x14ac:dyDescent="0.25">
      <c r="A371" s="24" t="s">
        <v>703</v>
      </c>
      <c r="B371" s="24" t="s">
        <v>671</v>
      </c>
      <c r="C371" s="24" t="s">
        <v>353</v>
      </c>
      <c r="D371" s="24">
        <v>512885</v>
      </c>
      <c r="E371" s="24" t="s">
        <v>617</v>
      </c>
      <c r="F371" s="24">
        <v>9699193685</v>
      </c>
      <c r="G371" s="24" t="s">
        <v>712</v>
      </c>
    </row>
    <row r="372" spans="1:7" ht="15.75" hidden="1" customHeight="1" x14ac:dyDescent="0.25">
      <c r="A372" s="24" t="s">
        <v>703</v>
      </c>
      <c r="B372" s="24" t="s">
        <v>672</v>
      </c>
      <c r="C372" s="24" t="s">
        <v>353</v>
      </c>
      <c r="D372" s="24">
        <v>512885</v>
      </c>
      <c r="E372" s="24" t="s">
        <v>617</v>
      </c>
      <c r="F372" s="24">
        <v>9699193685</v>
      </c>
      <c r="G372" s="24" t="s">
        <v>712</v>
      </c>
    </row>
    <row r="373" spans="1:7" ht="15.75" hidden="1" customHeight="1" x14ac:dyDescent="0.25">
      <c r="A373" s="24" t="s">
        <v>718</v>
      </c>
      <c r="B373" s="24" t="s">
        <v>469</v>
      </c>
      <c r="C373" s="24" t="s">
        <v>470</v>
      </c>
      <c r="D373" s="24">
        <v>512901</v>
      </c>
      <c r="E373" s="24" t="s">
        <v>491</v>
      </c>
      <c r="F373" s="24">
        <v>9699193721</v>
      </c>
      <c r="G373" s="24" t="s">
        <v>719</v>
      </c>
    </row>
    <row r="374" spans="1:7" ht="15.75" hidden="1" customHeight="1" x14ac:dyDescent="0.25">
      <c r="A374" s="24" t="s">
        <v>718</v>
      </c>
      <c r="B374" s="24" t="s">
        <v>459</v>
      </c>
      <c r="C374" s="24" t="s">
        <v>460</v>
      </c>
      <c r="D374" s="24">
        <v>512903</v>
      </c>
      <c r="E374" s="24" t="s">
        <v>491</v>
      </c>
      <c r="F374" s="24">
        <v>9699193721</v>
      </c>
      <c r="G374" s="24" t="s">
        <v>720</v>
      </c>
    </row>
    <row r="375" spans="1:7" ht="15.75" hidden="1" customHeight="1" x14ac:dyDescent="0.25">
      <c r="A375" s="24" t="s">
        <v>718</v>
      </c>
      <c r="B375" s="24" t="s">
        <v>463</v>
      </c>
      <c r="C375" s="24" t="s">
        <v>464</v>
      </c>
      <c r="D375" s="24">
        <v>512903</v>
      </c>
      <c r="E375" s="24" t="s">
        <v>491</v>
      </c>
      <c r="F375" s="24">
        <v>9699193721</v>
      </c>
      <c r="G375" s="24" t="s">
        <v>721</v>
      </c>
    </row>
    <row r="376" spans="1:7" ht="15.75" hidden="1" customHeight="1" x14ac:dyDescent="0.25">
      <c r="A376" s="24" t="s">
        <v>718</v>
      </c>
      <c r="B376" s="24" t="s">
        <v>466</v>
      </c>
      <c r="C376" s="24" t="s">
        <v>467</v>
      </c>
      <c r="D376" s="24">
        <v>512903</v>
      </c>
      <c r="E376" s="24" t="s">
        <v>491</v>
      </c>
      <c r="F376" s="24">
        <v>9699193721</v>
      </c>
      <c r="G376" s="24" t="s">
        <v>722</v>
      </c>
    </row>
    <row r="377" spans="1:7" ht="15.75" hidden="1" customHeight="1" x14ac:dyDescent="0.25">
      <c r="A377" s="24" t="s">
        <v>718</v>
      </c>
      <c r="B377" s="24" t="s">
        <v>480</v>
      </c>
      <c r="C377" s="24" t="s">
        <v>481</v>
      </c>
      <c r="D377" s="24">
        <v>512916</v>
      </c>
      <c r="E377" s="24" t="s">
        <v>491</v>
      </c>
      <c r="F377" s="24">
        <v>9699193721</v>
      </c>
      <c r="G377" s="24" t="s">
        <v>723</v>
      </c>
    </row>
    <row r="378" spans="1:7" ht="15.75" hidden="1" customHeight="1" x14ac:dyDescent="0.25">
      <c r="A378" s="24" t="s">
        <v>718</v>
      </c>
      <c r="B378" s="24" t="s">
        <v>483</v>
      </c>
      <c r="C378" s="24" t="s">
        <v>484</v>
      </c>
      <c r="D378" s="24">
        <v>512915</v>
      </c>
      <c r="E378" s="24" t="s">
        <v>491</v>
      </c>
      <c r="F378" s="24">
        <v>9699193721</v>
      </c>
      <c r="G378" s="24" t="s">
        <v>724</v>
      </c>
    </row>
    <row r="379" spans="1:7" ht="15.75" hidden="1" customHeight="1" x14ac:dyDescent="0.25">
      <c r="A379" s="24" t="s">
        <v>718</v>
      </c>
      <c r="B379" s="24" t="s">
        <v>486</v>
      </c>
      <c r="C379" s="24" t="s">
        <v>484</v>
      </c>
      <c r="D379" s="24">
        <v>512915</v>
      </c>
      <c r="E379" s="24" t="s">
        <v>491</v>
      </c>
      <c r="F379" s="24">
        <v>9699193721</v>
      </c>
      <c r="G379" s="24" t="s">
        <v>724</v>
      </c>
    </row>
    <row r="380" spans="1:7" ht="15.75" hidden="1" customHeight="1" x14ac:dyDescent="0.25">
      <c r="A380" s="24" t="s">
        <v>718</v>
      </c>
      <c r="B380" s="24" t="s">
        <v>487</v>
      </c>
      <c r="C380" s="24" t="s">
        <v>488</v>
      </c>
      <c r="D380" s="24">
        <v>512907</v>
      </c>
      <c r="E380" s="24" t="s">
        <v>491</v>
      </c>
      <c r="F380" s="24">
        <v>9699193721</v>
      </c>
      <c r="G380" s="24" t="s">
        <v>725</v>
      </c>
    </row>
    <row r="381" spans="1:7" ht="15.75" hidden="1" customHeight="1" x14ac:dyDescent="0.25">
      <c r="A381" s="24" t="s">
        <v>718</v>
      </c>
      <c r="B381" s="24" t="s">
        <v>477</v>
      </c>
      <c r="C381" s="24" t="s">
        <v>478</v>
      </c>
      <c r="D381" s="24">
        <v>512901</v>
      </c>
      <c r="E381" s="24" t="s">
        <v>491</v>
      </c>
      <c r="F381" s="24">
        <v>9699193721</v>
      </c>
      <c r="G381" s="24" t="s">
        <v>726</v>
      </c>
    </row>
    <row r="382" spans="1:7" ht="15.75" hidden="1" customHeight="1" x14ac:dyDescent="0.25">
      <c r="A382" s="24" t="s">
        <v>718</v>
      </c>
      <c r="B382" s="24" t="s">
        <v>472</v>
      </c>
      <c r="C382" s="24" t="s">
        <v>473</v>
      </c>
      <c r="D382" s="24">
        <v>512985</v>
      </c>
      <c r="E382" s="24" t="s">
        <v>491</v>
      </c>
      <c r="F382" s="24">
        <v>9699193721</v>
      </c>
      <c r="G382" s="24" t="s">
        <v>727</v>
      </c>
    </row>
    <row r="383" spans="1:7" ht="15.75" hidden="1" customHeight="1" x14ac:dyDescent="0.25">
      <c r="A383" s="24" t="s">
        <v>728</v>
      </c>
      <c r="B383" s="24" t="s">
        <v>313</v>
      </c>
      <c r="C383" s="24" t="s">
        <v>314</v>
      </c>
      <c r="D383" s="24">
        <v>612105</v>
      </c>
      <c r="E383" s="24" t="s">
        <v>373</v>
      </c>
      <c r="F383" s="24">
        <v>9699193686</v>
      </c>
      <c r="G383" s="24" t="s">
        <v>729</v>
      </c>
    </row>
    <row r="384" spans="1:7" ht="15.75" hidden="1" customHeight="1" x14ac:dyDescent="0.25">
      <c r="A384" s="24" t="s">
        <v>728</v>
      </c>
      <c r="B384" s="24" t="s">
        <v>317</v>
      </c>
      <c r="C384" s="24" t="s">
        <v>318</v>
      </c>
      <c r="D384" s="24">
        <v>612105</v>
      </c>
      <c r="E384" s="24" t="s">
        <v>373</v>
      </c>
      <c r="F384" s="24">
        <v>9699193686</v>
      </c>
      <c r="G384" s="24" t="s">
        <v>730</v>
      </c>
    </row>
    <row r="385" spans="1:7" ht="15.75" hidden="1" customHeight="1" x14ac:dyDescent="0.25">
      <c r="A385" s="24" t="s">
        <v>728</v>
      </c>
      <c r="B385" s="24" t="s">
        <v>320</v>
      </c>
      <c r="C385" s="24" t="s">
        <v>320</v>
      </c>
      <c r="D385" s="24">
        <v>611128</v>
      </c>
      <c r="E385" s="24" t="s">
        <v>373</v>
      </c>
      <c r="F385" s="24">
        <v>9699193686</v>
      </c>
      <c r="G385" s="24" t="s">
        <v>731</v>
      </c>
    </row>
    <row r="386" spans="1:7" ht="15.75" hidden="1" customHeight="1" x14ac:dyDescent="0.25">
      <c r="A386" s="24" t="s">
        <v>728</v>
      </c>
      <c r="B386" s="24" t="s">
        <v>322</v>
      </c>
      <c r="C386" s="24" t="s">
        <v>322</v>
      </c>
      <c r="D386" s="24">
        <v>611129</v>
      </c>
      <c r="E386" s="24" t="s">
        <v>373</v>
      </c>
      <c r="F386" s="24">
        <v>9699193686</v>
      </c>
      <c r="G386" s="24" t="s">
        <v>732</v>
      </c>
    </row>
    <row r="387" spans="1:7" ht="15.75" hidden="1" customHeight="1" x14ac:dyDescent="0.25">
      <c r="A387" s="24" t="s">
        <v>728</v>
      </c>
      <c r="B387" s="24" t="s">
        <v>324</v>
      </c>
      <c r="C387" s="24" t="s">
        <v>324</v>
      </c>
      <c r="D387" s="24">
        <v>512904</v>
      </c>
      <c r="E387" s="24" t="s">
        <v>373</v>
      </c>
      <c r="F387" s="24">
        <v>9699193686</v>
      </c>
      <c r="G387" s="24" t="s">
        <v>733</v>
      </c>
    </row>
    <row r="388" spans="1:7" ht="15.75" hidden="1" customHeight="1" x14ac:dyDescent="0.25">
      <c r="A388" s="24" t="s">
        <v>728</v>
      </c>
      <c r="B388" s="24" t="s">
        <v>332</v>
      </c>
      <c r="C388" s="24" t="s">
        <v>330</v>
      </c>
      <c r="D388" s="24">
        <v>611129</v>
      </c>
      <c r="E388" s="24" t="s">
        <v>373</v>
      </c>
      <c r="F388" s="24">
        <v>9699193686</v>
      </c>
      <c r="G388" s="24" t="s">
        <v>734</v>
      </c>
    </row>
    <row r="389" spans="1:7" ht="15.75" hidden="1" customHeight="1" x14ac:dyDescent="0.25">
      <c r="A389" s="24" t="s">
        <v>728</v>
      </c>
      <c r="B389" s="24" t="s">
        <v>333</v>
      </c>
      <c r="C389" s="24" t="s">
        <v>334</v>
      </c>
      <c r="D389" s="24">
        <v>612106</v>
      </c>
      <c r="E389" s="24" t="s">
        <v>373</v>
      </c>
      <c r="F389" s="24">
        <v>9699193686</v>
      </c>
      <c r="G389" s="24" t="s">
        <v>735</v>
      </c>
    </row>
    <row r="390" spans="1:7" ht="15.75" hidden="1" customHeight="1" x14ac:dyDescent="0.25">
      <c r="A390" s="24" t="s">
        <v>728</v>
      </c>
      <c r="B390" s="24" t="s">
        <v>336</v>
      </c>
      <c r="C390" s="24" t="s">
        <v>336</v>
      </c>
      <c r="D390" s="24">
        <v>512883</v>
      </c>
      <c r="E390" s="24" t="s">
        <v>373</v>
      </c>
      <c r="F390" s="24">
        <v>9699193686</v>
      </c>
      <c r="G390" s="24" t="s">
        <v>736</v>
      </c>
    </row>
    <row r="391" spans="1:7" ht="15.75" hidden="1" customHeight="1" x14ac:dyDescent="0.25">
      <c r="A391" s="24" t="s">
        <v>728</v>
      </c>
      <c r="B391" s="24" t="s">
        <v>338</v>
      </c>
      <c r="C391" s="24" t="s">
        <v>338</v>
      </c>
      <c r="D391" s="24">
        <v>512908</v>
      </c>
      <c r="E391" s="24" t="s">
        <v>373</v>
      </c>
      <c r="F391" s="24">
        <v>9699193686</v>
      </c>
      <c r="G391" s="24" t="s">
        <v>737</v>
      </c>
    </row>
    <row r="392" spans="1:7" ht="15.75" hidden="1" customHeight="1" x14ac:dyDescent="0.25">
      <c r="A392" s="24" t="s">
        <v>728</v>
      </c>
      <c r="B392" s="24" t="s">
        <v>340</v>
      </c>
      <c r="C392" s="24" t="s">
        <v>340</v>
      </c>
      <c r="D392" s="24">
        <v>512903</v>
      </c>
      <c r="E392" s="24" t="s">
        <v>373</v>
      </c>
      <c r="F392" s="24">
        <v>9699193686</v>
      </c>
      <c r="G392" s="24" t="s">
        <v>738</v>
      </c>
    </row>
    <row r="393" spans="1:7" ht="15.75" hidden="1" customHeight="1" x14ac:dyDescent="0.25">
      <c r="A393" s="24" t="s">
        <v>728</v>
      </c>
      <c r="B393" s="24" t="s">
        <v>342</v>
      </c>
      <c r="C393" s="24" t="s">
        <v>342</v>
      </c>
      <c r="D393" s="24">
        <v>512903</v>
      </c>
      <c r="E393" s="24" t="s">
        <v>373</v>
      </c>
      <c r="F393" s="24">
        <v>9699193686</v>
      </c>
      <c r="G393" s="24" t="s">
        <v>739</v>
      </c>
    </row>
    <row r="394" spans="1:7" ht="15.75" hidden="1" customHeight="1" x14ac:dyDescent="0.25">
      <c r="A394" s="24" t="s">
        <v>728</v>
      </c>
      <c r="B394" s="24" t="s">
        <v>344</v>
      </c>
      <c r="C394" s="24" t="s">
        <v>345</v>
      </c>
      <c r="D394" s="24">
        <v>512985</v>
      </c>
      <c r="E394" s="24" t="s">
        <v>373</v>
      </c>
      <c r="F394" s="24">
        <v>9699193686</v>
      </c>
      <c r="G394" s="24" t="s">
        <v>740</v>
      </c>
    </row>
    <row r="395" spans="1:7" ht="15.75" hidden="1" customHeight="1" x14ac:dyDescent="0.25">
      <c r="A395" s="24" t="s">
        <v>728</v>
      </c>
      <c r="B395" s="24" t="s">
        <v>347</v>
      </c>
      <c r="C395" s="24" t="s">
        <v>348</v>
      </c>
      <c r="D395" s="24">
        <v>512884</v>
      </c>
      <c r="E395" s="24" t="s">
        <v>373</v>
      </c>
      <c r="F395" s="24">
        <v>9699193686</v>
      </c>
      <c r="G395" s="24" t="s">
        <v>741</v>
      </c>
    </row>
    <row r="396" spans="1:7" ht="15.75" hidden="1" customHeight="1" x14ac:dyDescent="0.25">
      <c r="A396" s="24" t="s">
        <v>728</v>
      </c>
      <c r="B396" s="24" t="s">
        <v>350</v>
      </c>
      <c r="C396" s="24" t="s">
        <v>351</v>
      </c>
      <c r="D396" s="24">
        <v>512902</v>
      </c>
      <c r="E396" s="24" t="s">
        <v>373</v>
      </c>
      <c r="F396" s="24">
        <v>9699193686</v>
      </c>
      <c r="G396" s="24" t="s">
        <v>742</v>
      </c>
    </row>
    <row r="397" spans="1:7" ht="15.75" hidden="1" customHeight="1" x14ac:dyDescent="0.25">
      <c r="A397" s="24" t="s">
        <v>728</v>
      </c>
      <c r="B397" s="24" t="s">
        <v>353</v>
      </c>
      <c r="C397" s="24" t="s">
        <v>353</v>
      </c>
      <c r="D397" s="24">
        <v>512885</v>
      </c>
      <c r="E397" s="24" t="s">
        <v>373</v>
      </c>
      <c r="F397" s="24">
        <v>9699193686</v>
      </c>
      <c r="G397" s="24" t="s">
        <v>743</v>
      </c>
    </row>
    <row r="398" spans="1:7" ht="15.75" hidden="1" customHeight="1" x14ac:dyDescent="0.25">
      <c r="A398" s="24" t="s">
        <v>744</v>
      </c>
      <c r="B398" s="24" t="s">
        <v>313</v>
      </c>
      <c r="C398" s="24" t="s">
        <v>314</v>
      </c>
      <c r="D398" s="24">
        <v>612105</v>
      </c>
      <c r="E398" s="24" t="s">
        <v>373</v>
      </c>
      <c r="F398" s="24">
        <v>9699193686</v>
      </c>
      <c r="G398" s="24" t="s">
        <v>745</v>
      </c>
    </row>
    <row r="399" spans="1:7" ht="15.75" hidden="1" customHeight="1" x14ac:dyDescent="0.25">
      <c r="A399" s="24" t="s">
        <v>744</v>
      </c>
      <c r="B399" s="24" t="s">
        <v>317</v>
      </c>
      <c r="C399" s="24" t="s">
        <v>318</v>
      </c>
      <c r="D399" s="24">
        <v>612105</v>
      </c>
      <c r="E399" s="24" t="s">
        <v>373</v>
      </c>
      <c r="F399" s="24">
        <v>9699193686</v>
      </c>
      <c r="G399" s="24" t="s">
        <v>746</v>
      </c>
    </row>
    <row r="400" spans="1:7" ht="15.75" hidden="1" customHeight="1" x14ac:dyDescent="0.25">
      <c r="A400" s="24" t="s">
        <v>744</v>
      </c>
      <c r="B400" s="24" t="s">
        <v>320</v>
      </c>
      <c r="C400" s="24" t="s">
        <v>320</v>
      </c>
      <c r="D400" s="24">
        <v>611128</v>
      </c>
      <c r="E400" s="24" t="s">
        <v>373</v>
      </c>
      <c r="F400" s="24">
        <v>9699193686</v>
      </c>
      <c r="G400" s="24" t="s">
        <v>747</v>
      </c>
    </row>
    <row r="401" spans="1:7" ht="15.75" hidden="1" customHeight="1" x14ac:dyDescent="0.25">
      <c r="A401" s="24" t="s">
        <v>744</v>
      </c>
      <c r="B401" s="24" t="s">
        <v>322</v>
      </c>
      <c r="C401" s="24" t="s">
        <v>322</v>
      </c>
      <c r="D401" s="24">
        <v>611129</v>
      </c>
      <c r="E401" s="24" t="s">
        <v>373</v>
      </c>
      <c r="F401" s="24">
        <v>9699193686</v>
      </c>
      <c r="G401" s="24" t="s">
        <v>748</v>
      </c>
    </row>
    <row r="402" spans="1:7" ht="15.75" hidden="1" customHeight="1" x14ac:dyDescent="0.25">
      <c r="A402" s="24" t="s">
        <v>744</v>
      </c>
      <c r="B402" s="24" t="s">
        <v>324</v>
      </c>
      <c r="C402" s="24" t="s">
        <v>324</v>
      </c>
      <c r="D402" s="24">
        <v>512904</v>
      </c>
      <c r="E402" s="24" t="s">
        <v>373</v>
      </c>
      <c r="F402" s="24">
        <v>9699193686</v>
      </c>
      <c r="G402" s="24" t="s">
        <v>749</v>
      </c>
    </row>
    <row r="403" spans="1:7" ht="15.75" hidden="1" customHeight="1" x14ac:dyDescent="0.25">
      <c r="A403" s="24" t="s">
        <v>744</v>
      </c>
      <c r="B403" s="24" t="s">
        <v>332</v>
      </c>
      <c r="C403" s="24" t="s">
        <v>330</v>
      </c>
      <c r="D403" s="24">
        <v>611129</v>
      </c>
      <c r="E403" s="24" t="s">
        <v>373</v>
      </c>
      <c r="F403" s="24">
        <v>9699193686</v>
      </c>
      <c r="G403" s="24" t="s">
        <v>750</v>
      </c>
    </row>
    <row r="404" spans="1:7" ht="15.75" hidden="1" customHeight="1" x14ac:dyDescent="0.25">
      <c r="A404" s="24" t="s">
        <v>744</v>
      </c>
      <c r="B404" s="24" t="s">
        <v>333</v>
      </c>
      <c r="C404" s="24" t="s">
        <v>334</v>
      </c>
      <c r="D404" s="24">
        <v>612106</v>
      </c>
      <c r="E404" s="24" t="s">
        <v>373</v>
      </c>
      <c r="F404" s="24">
        <v>9699193686</v>
      </c>
      <c r="G404" s="24" t="s">
        <v>751</v>
      </c>
    </row>
    <row r="405" spans="1:7" ht="15.75" hidden="1" customHeight="1" x14ac:dyDescent="0.25">
      <c r="A405" s="24" t="s">
        <v>744</v>
      </c>
      <c r="B405" s="24" t="s">
        <v>336</v>
      </c>
      <c r="C405" s="24" t="s">
        <v>336</v>
      </c>
      <c r="D405" s="24">
        <v>512883</v>
      </c>
      <c r="E405" s="24" t="s">
        <v>373</v>
      </c>
      <c r="F405" s="24">
        <v>9699193686</v>
      </c>
      <c r="G405" s="24" t="s">
        <v>752</v>
      </c>
    </row>
    <row r="406" spans="1:7" ht="15.75" hidden="1" customHeight="1" x14ac:dyDescent="0.25">
      <c r="A406" s="24" t="s">
        <v>744</v>
      </c>
      <c r="B406" s="24" t="s">
        <v>338</v>
      </c>
      <c r="C406" s="24" t="s">
        <v>338</v>
      </c>
      <c r="D406" s="24">
        <v>512908</v>
      </c>
      <c r="E406" s="24" t="s">
        <v>373</v>
      </c>
      <c r="F406" s="24">
        <v>9699193686</v>
      </c>
      <c r="G406" s="24" t="s">
        <v>753</v>
      </c>
    </row>
    <row r="407" spans="1:7" ht="15.75" hidden="1" customHeight="1" x14ac:dyDescent="0.25">
      <c r="A407" s="24" t="s">
        <v>744</v>
      </c>
      <c r="B407" s="24" t="s">
        <v>340</v>
      </c>
      <c r="C407" s="24" t="s">
        <v>340</v>
      </c>
      <c r="D407" s="24">
        <v>512903</v>
      </c>
      <c r="E407" s="24" t="s">
        <v>373</v>
      </c>
      <c r="F407" s="24">
        <v>9699193686</v>
      </c>
      <c r="G407" s="24" t="s">
        <v>754</v>
      </c>
    </row>
    <row r="408" spans="1:7" ht="15.75" hidden="1" customHeight="1" x14ac:dyDescent="0.25">
      <c r="A408" s="24" t="s">
        <v>744</v>
      </c>
      <c r="B408" s="24" t="s">
        <v>342</v>
      </c>
      <c r="C408" s="24" t="s">
        <v>342</v>
      </c>
      <c r="D408" s="24">
        <v>512903</v>
      </c>
      <c r="E408" s="24" t="s">
        <v>373</v>
      </c>
      <c r="F408" s="24">
        <v>9699193686</v>
      </c>
      <c r="G408" s="24" t="s">
        <v>755</v>
      </c>
    </row>
    <row r="409" spans="1:7" ht="15.75" hidden="1" customHeight="1" x14ac:dyDescent="0.25">
      <c r="A409" s="24" t="s">
        <v>744</v>
      </c>
      <c r="B409" s="24" t="s">
        <v>344</v>
      </c>
      <c r="C409" s="24" t="s">
        <v>345</v>
      </c>
      <c r="D409" s="24">
        <v>512985</v>
      </c>
      <c r="E409" s="24" t="s">
        <v>373</v>
      </c>
      <c r="F409" s="24">
        <v>9699193686</v>
      </c>
      <c r="G409" s="24" t="s">
        <v>756</v>
      </c>
    </row>
    <row r="410" spans="1:7" ht="15.75" hidden="1" customHeight="1" x14ac:dyDescent="0.25">
      <c r="A410" s="24" t="s">
        <v>744</v>
      </c>
      <c r="B410" s="24" t="s">
        <v>347</v>
      </c>
      <c r="C410" s="24" t="s">
        <v>348</v>
      </c>
      <c r="D410" s="24">
        <v>512884</v>
      </c>
      <c r="E410" s="24" t="s">
        <v>373</v>
      </c>
      <c r="F410" s="24">
        <v>9699193686</v>
      </c>
      <c r="G410" s="24" t="s">
        <v>757</v>
      </c>
    </row>
    <row r="411" spans="1:7" ht="15.75" hidden="1" customHeight="1" x14ac:dyDescent="0.25">
      <c r="A411" s="24" t="s">
        <v>744</v>
      </c>
      <c r="B411" s="24" t="s">
        <v>350</v>
      </c>
      <c r="C411" s="24" t="s">
        <v>351</v>
      </c>
      <c r="D411" s="24">
        <v>512902</v>
      </c>
      <c r="E411" s="24" t="s">
        <v>373</v>
      </c>
      <c r="F411" s="24">
        <v>9699193686</v>
      </c>
      <c r="G411" s="24" t="s">
        <v>758</v>
      </c>
    </row>
    <row r="412" spans="1:7" ht="15.75" hidden="1" customHeight="1" x14ac:dyDescent="0.25">
      <c r="A412" s="24" t="s">
        <v>744</v>
      </c>
      <c r="B412" s="24" t="s">
        <v>353</v>
      </c>
      <c r="C412" s="24" t="s">
        <v>353</v>
      </c>
      <c r="D412" s="24">
        <v>512885</v>
      </c>
      <c r="E412" s="24" t="s">
        <v>373</v>
      </c>
      <c r="F412" s="24">
        <v>9699193686</v>
      </c>
      <c r="G412" s="24" t="s">
        <v>759</v>
      </c>
    </row>
    <row r="413" spans="1:7" ht="15.75" hidden="1" customHeight="1" x14ac:dyDescent="0.25">
      <c r="A413" s="24" t="s">
        <v>760</v>
      </c>
      <c r="B413" s="24" t="s">
        <v>313</v>
      </c>
      <c r="C413" s="24" t="s">
        <v>314</v>
      </c>
      <c r="D413" s="24">
        <v>612105</v>
      </c>
      <c r="E413" s="24" t="s">
        <v>373</v>
      </c>
      <c r="F413" s="24">
        <v>9699193686</v>
      </c>
      <c r="G413" s="24" t="s">
        <v>761</v>
      </c>
    </row>
    <row r="414" spans="1:7" ht="15.75" hidden="1" customHeight="1" x14ac:dyDescent="0.25">
      <c r="A414" s="24" t="s">
        <v>760</v>
      </c>
      <c r="B414" s="24" t="s">
        <v>317</v>
      </c>
      <c r="C414" s="24" t="s">
        <v>318</v>
      </c>
      <c r="D414" s="24">
        <v>612105</v>
      </c>
      <c r="E414" s="24" t="s">
        <v>373</v>
      </c>
      <c r="F414" s="24">
        <v>9699193686</v>
      </c>
      <c r="G414" s="24" t="s">
        <v>762</v>
      </c>
    </row>
    <row r="415" spans="1:7" ht="15.75" hidden="1" customHeight="1" x14ac:dyDescent="0.25">
      <c r="A415" s="24" t="s">
        <v>760</v>
      </c>
      <c r="B415" s="24" t="s">
        <v>320</v>
      </c>
      <c r="C415" s="24" t="s">
        <v>320</v>
      </c>
      <c r="D415" s="24">
        <v>611128</v>
      </c>
      <c r="E415" s="24" t="s">
        <v>373</v>
      </c>
      <c r="F415" s="24">
        <v>9699193686</v>
      </c>
      <c r="G415" s="24" t="s">
        <v>763</v>
      </c>
    </row>
    <row r="416" spans="1:7" ht="15.75" hidden="1" customHeight="1" x14ac:dyDescent="0.25">
      <c r="A416" s="24" t="s">
        <v>760</v>
      </c>
      <c r="B416" s="24" t="s">
        <v>322</v>
      </c>
      <c r="C416" s="24" t="s">
        <v>322</v>
      </c>
      <c r="D416" s="24">
        <v>611129</v>
      </c>
      <c r="E416" s="24" t="s">
        <v>373</v>
      </c>
      <c r="F416" s="24">
        <v>9699193686</v>
      </c>
      <c r="G416" s="24" t="s">
        <v>764</v>
      </c>
    </row>
    <row r="417" spans="1:7" ht="15.75" hidden="1" customHeight="1" x14ac:dyDescent="0.25">
      <c r="A417" s="24" t="s">
        <v>760</v>
      </c>
      <c r="B417" s="24" t="s">
        <v>324</v>
      </c>
      <c r="C417" s="24" t="s">
        <v>324</v>
      </c>
      <c r="D417" s="24">
        <v>512904</v>
      </c>
      <c r="E417" s="24" t="s">
        <v>373</v>
      </c>
      <c r="F417" s="24">
        <v>9699193686</v>
      </c>
      <c r="G417" s="24" t="s">
        <v>765</v>
      </c>
    </row>
    <row r="418" spans="1:7" ht="15.75" hidden="1" customHeight="1" x14ac:dyDescent="0.25">
      <c r="A418" s="24" t="s">
        <v>760</v>
      </c>
      <c r="B418" s="24" t="s">
        <v>332</v>
      </c>
      <c r="C418" s="24" t="s">
        <v>330</v>
      </c>
      <c r="D418" s="24">
        <v>611129</v>
      </c>
      <c r="E418" s="24" t="s">
        <v>373</v>
      </c>
      <c r="F418" s="24">
        <v>9699193686</v>
      </c>
      <c r="G418" s="24" t="s">
        <v>766</v>
      </c>
    </row>
    <row r="419" spans="1:7" ht="15.75" hidden="1" customHeight="1" x14ac:dyDescent="0.25">
      <c r="A419" s="24" t="s">
        <v>760</v>
      </c>
      <c r="B419" s="24" t="s">
        <v>333</v>
      </c>
      <c r="C419" s="24" t="s">
        <v>334</v>
      </c>
      <c r="D419" s="24">
        <v>612106</v>
      </c>
      <c r="E419" s="24" t="s">
        <v>373</v>
      </c>
      <c r="F419" s="24">
        <v>9699193686</v>
      </c>
      <c r="G419" s="24" t="s">
        <v>767</v>
      </c>
    </row>
    <row r="420" spans="1:7" ht="15.75" hidden="1" customHeight="1" x14ac:dyDescent="0.25">
      <c r="A420" s="24" t="s">
        <v>760</v>
      </c>
      <c r="B420" s="24" t="s">
        <v>336</v>
      </c>
      <c r="C420" s="24" t="s">
        <v>336</v>
      </c>
      <c r="D420" s="24">
        <v>512883</v>
      </c>
      <c r="E420" s="24" t="s">
        <v>373</v>
      </c>
      <c r="F420" s="24">
        <v>9699193686</v>
      </c>
      <c r="G420" s="24" t="s">
        <v>768</v>
      </c>
    </row>
    <row r="421" spans="1:7" ht="15.75" hidden="1" customHeight="1" x14ac:dyDescent="0.25">
      <c r="A421" s="24" t="s">
        <v>760</v>
      </c>
      <c r="B421" s="24" t="s">
        <v>338</v>
      </c>
      <c r="C421" s="24" t="s">
        <v>338</v>
      </c>
      <c r="D421" s="24">
        <v>512908</v>
      </c>
      <c r="E421" s="24" t="s">
        <v>373</v>
      </c>
      <c r="F421" s="24">
        <v>9699193686</v>
      </c>
      <c r="G421" s="24" t="s">
        <v>769</v>
      </c>
    </row>
    <row r="422" spans="1:7" ht="15.75" hidden="1" customHeight="1" x14ac:dyDescent="0.25">
      <c r="A422" s="24" t="s">
        <v>760</v>
      </c>
      <c r="B422" s="24" t="s">
        <v>340</v>
      </c>
      <c r="C422" s="24" t="s">
        <v>340</v>
      </c>
      <c r="D422" s="24">
        <v>512903</v>
      </c>
      <c r="E422" s="24" t="s">
        <v>373</v>
      </c>
      <c r="F422" s="24">
        <v>9699193686</v>
      </c>
      <c r="G422" s="24" t="s">
        <v>770</v>
      </c>
    </row>
    <row r="423" spans="1:7" ht="15.75" hidden="1" customHeight="1" x14ac:dyDescent="0.25">
      <c r="A423" s="24" t="s">
        <v>760</v>
      </c>
      <c r="B423" s="24" t="s">
        <v>342</v>
      </c>
      <c r="C423" s="24" t="s">
        <v>342</v>
      </c>
      <c r="D423" s="24">
        <v>512903</v>
      </c>
      <c r="E423" s="24" t="s">
        <v>373</v>
      </c>
      <c r="F423" s="24">
        <v>9699193686</v>
      </c>
      <c r="G423" s="24" t="s">
        <v>771</v>
      </c>
    </row>
    <row r="424" spans="1:7" ht="15.75" hidden="1" customHeight="1" x14ac:dyDescent="0.25">
      <c r="A424" s="24" t="s">
        <v>760</v>
      </c>
      <c r="B424" s="24" t="s">
        <v>344</v>
      </c>
      <c r="C424" s="24" t="s">
        <v>345</v>
      </c>
      <c r="D424" s="24">
        <v>512985</v>
      </c>
      <c r="E424" s="24" t="s">
        <v>373</v>
      </c>
      <c r="F424" s="24">
        <v>9699193686</v>
      </c>
      <c r="G424" s="24" t="s">
        <v>772</v>
      </c>
    </row>
    <row r="425" spans="1:7" ht="15.75" hidden="1" customHeight="1" x14ac:dyDescent="0.25">
      <c r="A425" s="24" t="s">
        <v>760</v>
      </c>
      <c r="B425" s="24" t="s">
        <v>347</v>
      </c>
      <c r="C425" s="24" t="s">
        <v>348</v>
      </c>
      <c r="D425" s="24">
        <v>512884</v>
      </c>
      <c r="E425" s="24" t="s">
        <v>373</v>
      </c>
      <c r="F425" s="24">
        <v>9699193686</v>
      </c>
      <c r="G425" s="24" t="s">
        <v>773</v>
      </c>
    </row>
    <row r="426" spans="1:7" ht="15.75" hidden="1" customHeight="1" x14ac:dyDescent="0.25">
      <c r="A426" s="24" t="s">
        <v>760</v>
      </c>
      <c r="B426" s="24" t="s">
        <v>350</v>
      </c>
      <c r="C426" s="24" t="s">
        <v>351</v>
      </c>
      <c r="D426" s="24">
        <v>512902</v>
      </c>
      <c r="E426" s="24" t="s">
        <v>373</v>
      </c>
      <c r="F426" s="24">
        <v>9699193686</v>
      </c>
      <c r="G426" s="24" t="s">
        <v>774</v>
      </c>
    </row>
    <row r="427" spans="1:7" ht="15.75" hidden="1" customHeight="1" x14ac:dyDescent="0.25">
      <c r="A427" s="24" t="s">
        <v>760</v>
      </c>
      <c r="B427" s="24" t="s">
        <v>353</v>
      </c>
      <c r="C427" s="24" t="s">
        <v>353</v>
      </c>
      <c r="D427" s="24">
        <v>512885</v>
      </c>
      <c r="E427" s="24" t="s">
        <v>373</v>
      </c>
      <c r="F427" s="24">
        <v>9699193686</v>
      </c>
      <c r="G427" s="24" t="s">
        <v>775</v>
      </c>
    </row>
    <row r="428" spans="1:7" ht="15.75" hidden="1" customHeight="1" x14ac:dyDescent="0.25">
      <c r="A428" s="24" t="s">
        <v>776</v>
      </c>
      <c r="B428" s="24" t="s">
        <v>317</v>
      </c>
      <c r="C428" s="24" t="s">
        <v>318</v>
      </c>
      <c r="D428" s="24">
        <v>612105</v>
      </c>
      <c r="E428" s="24" t="s">
        <v>373</v>
      </c>
      <c r="F428" s="24">
        <v>9699193686</v>
      </c>
      <c r="G428" s="24" t="s">
        <v>777</v>
      </c>
    </row>
    <row r="429" spans="1:7" ht="15.75" hidden="1" customHeight="1" x14ac:dyDescent="0.25">
      <c r="A429" s="24" t="s">
        <v>776</v>
      </c>
      <c r="B429" s="24" t="s">
        <v>320</v>
      </c>
      <c r="C429" s="24" t="s">
        <v>320</v>
      </c>
      <c r="D429" s="24">
        <v>611128</v>
      </c>
      <c r="E429" s="24" t="s">
        <v>373</v>
      </c>
      <c r="F429" s="24">
        <v>9699193686</v>
      </c>
      <c r="G429" s="24" t="s">
        <v>778</v>
      </c>
    </row>
    <row r="430" spans="1:7" ht="15.75" hidden="1" customHeight="1" x14ac:dyDescent="0.25">
      <c r="A430" s="24" t="s">
        <v>776</v>
      </c>
      <c r="B430" s="24" t="s">
        <v>322</v>
      </c>
      <c r="C430" s="24" t="s">
        <v>322</v>
      </c>
      <c r="D430" s="24">
        <v>611129</v>
      </c>
      <c r="E430" s="24" t="s">
        <v>373</v>
      </c>
      <c r="F430" s="24">
        <v>9699193686</v>
      </c>
      <c r="G430" s="24" t="s">
        <v>779</v>
      </c>
    </row>
    <row r="431" spans="1:7" ht="15.75" hidden="1" customHeight="1" x14ac:dyDescent="0.25">
      <c r="A431" s="24" t="s">
        <v>776</v>
      </c>
      <c r="B431" s="24" t="s">
        <v>324</v>
      </c>
      <c r="C431" s="24" t="s">
        <v>324</v>
      </c>
      <c r="D431" s="24">
        <v>512904</v>
      </c>
      <c r="E431" s="24" t="s">
        <v>373</v>
      </c>
      <c r="F431" s="24">
        <v>9699193686</v>
      </c>
      <c r="G431" s="24" t="s">
        <v>780</v>
      </c>
    </row>
    <row r="432" spans="1:7" ht="15.75" hidden="1" customHeight="1" x14ac:dyDescent="0.25">
      <c r="A432" s="24" t="s">
        <v>776</v>
      </c>
      <c r="B432" s="24" t="s">
        <v>332</v>
      </c>
      <c r="C432" s="24" t="s">
        <v>330</v>
      </c>
      <c r="D432" s="24">
        <v>611129</v>
      </c>
      <c r="E432" s="24" t="s">
        <v>373</v>
      </c>
      <c r="F432" s="24">
        <v>9699193686</v>
      </c>
      <c r="G432" s="24" t="s">
        <v>781</v>
      </c>
    </row>
    <row r="433" spans="1:7" ht="15.75" hidden="1" customHeight="1" x14ac:dyDescent="0.25">
      <c r="A433" s="24" t="s">
        <v>776</v>
      </c>
      <c r="B433" s="24" t="s">
        <v>333</v>
      </c>
      <c r="C433" s="24" t="s">
        <v>334</v>
      </c>
      <c r="D433" s="24">
        <v>612106</v>
      </c>
      <c r="E433" s="24" t="s">
        <v>373</v>
      </c>
      <c r="F433" s="24">
        <v>9699193686</v>
      </c>
      <c r="G433" s="24" t="s">
        <v>782</v>
      </c>
    </row>
    <row r="434" spans="1:7" ht="15.75" hidden="1" customHeight="1" x14ac:dyDescent="0.25">
      <c r="A434" s="24" t="s">
        <v>776</v>
      </c>
      <c r="B434" s="24" t="s">
        <v>336</v>
      </c>
      <c r="C434" s="24" t="s">
        <v>336</v>
      </c>
      <c r="D434" s="24">
        <v>512883</v>
      </c>
      <c r="E434" s="24" t="s">
        <v>373</v>
      </c>
      <c r="F434" s="24">
        <v>9699193686</v>
      </c>
      <c r="G434" s="24" t="s">
        <v>783</v>
      </c>
    </row>
    <row r="435" spans="1:7" ht="15.75" hidden="1" customHeight="1" x14ac:dyDescent="0.25">
      <c r="A435" s="24" t="s">
        <v>776</v>
      </c>
      <c r="B435" s="24" t="s">
        <v>338</v>
      </c>
      <c r="C435" s="24" t="s">
        <v>338</v>
      </c>
      <c r="D435" s="24">
        <v>512908</v>
      </c>
      <c r="E435" s="24" t="s">
        <v>373</v>
      </c>
      <c r="F435" s="24">
        <v>9699193686</v>
      </c>
      <c r="G435" s="24" t="s">
        <v>784</v>
      </c>
    </row>
    <row r="436" spans="1:7" ht="15.75" hidden="1" customHeight="1" x14ac:dyDescent="0.25">
      <c r="A436" s="24" t="s">
        <v>776</v>
      </c>
      <c r="B436" s="24" t="s">
        <v>340</v>
      </c>
      <c r="C436" s="24" t="s">
        <v>340</v>
      </c>
      <c r="D436" s="24">
        <v>512903</v>
      </c>
      <c r="E436" s="24" t="s">
        <v>373</v>
      </c>
      <c r="F436" s="24">
        <v>9699193686</v>
      </c>
      <c r="G436" s="24" t="s">
        <v>785</v>
      </c>
    </row>
    <row r="437" spans="1:7" ht="15.75" hidden="1" customHeight="1" x14ac:dyDescent="0.25">
      <c r="A437" s="24" t="s">
        <v>776</v>
      </c>
      <c r="B437" s="24" t="s">
        <v>342</v>
      </c>
      <c r="C437" s="24" t="s">
        <v>342</v>
      </c>
      <c r="D437" s="24">
        <v>512903</v>
      </c>
      <c r="E437" s="24" t="s">
        <v>373</v>
      </c>
      <c r="F437" s="24">
        <v>9699193686</v>
      </c>
      <c r="G437" s="24" t="s">
        <v>786</v>
      </c>
    </row>
    <row r="438" spans="1:7" ht="15.75" hidden="1" customHeight="1" x14ac:dyDescent="0.25">
      <c r="A438" s="24" t="s">
        <v>776</v>
      </c>
      <c r="B438" s="24" t="s">
        <v>344</v>
      </c>
      <c r="C438" s="24" t="s">
        <v>345</v>
      </c>
      <c r="D438" s="24">
        <v>512985</v>
      </c>
      <c r="E438" s="24" t="s">
        <v>373</v>
      </c>
      <c r="F438" s="24">
        <v>9699193686</v>
      </c>
      <c r="G438" s="24" t="s">
        <v>787</v>
      </c>
    </row>
    <row r="439" spans="1:7" ht="15.75" hidden="1" customHeight="1" x14ac:dyDescent="0.25">
      <c r="A439" s="24" t="s">
        <v>776</v>
      </c>
      <c r="B439" s="24" t="s">
        <v>434</v>
      </c>
      <c r="C439" s="24" t="s">
        <v>348</v>
      </c>
      <c r="D439" s="24">
        <v>512884</v>
      </c>
      <c r="E439" s="24" t="s">
        <v>373</v>
      </c>
      <c r="F439" s="24">
        <v>9699193686</v>
      </c>
      <c r="G439" s="24" t="s">
        <v>788</v>
      </c>
    </row>
    <row r="440" spans="1:7" ht="15.75" hidden="1" customHeight="1" x14ac:dyDescent="0.25">
      <c r="A440" s="24" t="s">
        <v>776</v>
      </c>
      <c r="B440" s="24" t="s">
        <v>350</v>
      </c>
      <c r="C440" s="24" t="s">
        <v>351</v>
      </c>
      <c r="D440" s="24">
        <v>512902</v>
      </c>
      <c r="E440" s="24" t="s">
        <v>373</v>
      </c>
      <c r="F440" s="24">
        <v>9699193686</v>
      </c>
      <c r="G440" s="24" t="s">
        <v>789</v>
      </c>
    </row>
    <row r="441" spans="1:7" ht="15.75" hidden="1" customHeight="1" x14ac:dyDescent="0.25">
      <c r="A441" s="24" t="s">
        <v>776</v>
      </c>
      <c r="B441" s="24" t="s">
        <v>353</v>
      </c>
      <c r="C441" s="24" t="s">
        <v>353</v>
      </c>
      <c r="D441" s="24">
        <v>512885</v>
      </c>
      <c r="E441" s="24" t="s">
        <v>373</v>
      </c>
      <c r="F441" s="24">
        <v>9699193686</v>
      </c>
      <c r="G441" s="24" t="s">
        <v>790</v>
      </c>
    </row>
    <row r="442" spans="1:7" ht="15.75" hidden="1" customHeight="1" x14ac:dyDescent="0.25">
      <c r="A442" s="24" t="s">
        <v>791</v>
      </c>
      <c r="B442" s="24" t="s">
        <v>313</v>
      </c>
      <c r="C442" s="24" t="s">
        <v>314</v>
      </c>
      <c r="D442" s="24">
        <v>612105</v>
      </c>
      <c r="E442" s="24" t="s">
        <v>373</v>
      </c>
      <c r="F442" s="24">
        <v>9699193686</v>
      </c>
      <c r="G442" s="24" t="s">
        <v>792</v>
      </c>
    </row>
    <row r="443" spans="1:7" ht="15.75" hidden="1" customHeight="1" x14ac:dyDescent="0.25">
      <c r="A443" s="24" t="s">
        <v>791</v>
      </c>
      <c r="B443" s="24" t="s">
        <v>317</v>
      </c>
      <c r="C443" s="24" t="s">
        <v>318</v>
      </c>
      <c r="D443" s="24">
        <v>612105</v>
      </c>
      <c r="E443" s="24" t="s">
        <v>373</v>
      </c>
      <c r="F443" s="24">
        <v>9699193686</v>
      </c>
      <c r="G443" s="24" t="s">
        <v>793</v>
      </c>
    </row>
    <row r="444" spans="1:7" ht="15.75" hidden="1" customHeight="1" x14ac:dyDescent="0.25">
      <c r="A444" s="24" t="s">
        <v>791</v>
      </c>
      <c r="B444" s="24" t="s">
        <v>320</v>
      </c>
      <c r="C444" s="24" t="s">
        <v>320</v>
      </c>
      <c r="D444" s="24">
        <v>611128</v>
      </c>
      <c r="E444" s="24" t="s">
        <v>373</v>
      </c>
      <c r="F444" s="24">
        <v>9699193686</v>
      </c>
      <c r="G444" s="24" t="s">
        <v>794</v>
      </c>
    </row>
    <row r="445" spans="1:7" ht="15.75" hidden="1" customHeight="1" x14ac:dyDescent="0.25">
      <c r="A445" s="24" t="s">
        <v>791</v>
      </c>
      <c r="B445" s="24" t="s">
        <v>322</v>
      </c>
      <c r="C445" s="24" t="s">
        <v>322</v>
      </c>
      <c r="D445" s="24">
        <v>611129</v>
      </c>
      <c r="E445" s="24" t="s">
        <v>373</v>
      </c>
      <c r="F445" s="24">
        <v>9699193686</v>
      </c>
      <c r="G445" s="24" t="s">
        <v>795</v>
      </c>
    </row>
    <row r="446" spans="1:7" ht="15.75" hidden="1" customHeight="1" x14ac:dyDescent="0.25">
      <c r="A446" s="24" t="s">
        <v>791</v>
      </c>
      <c r="B446" s="24" t="s">
        <v>324</v>
      </c>
      <c r="C446" s="24" t="s">
        <v>324</v>
      </c>
      <c r="D446" s="24">
        <v>512904</v>
      </c>
      <c r="E446" s="24" t="s">
        <v>373</v>
      </c>
      <c r="F446" s="24">
        <v>9699193686</v>
      </c>
      <c r="G446" s="24" t="s">
        <v>796</v>
      </c>
    </row>
    <row r="447" spans="1:7" ht="15.75" hidden="1" customHeight="1" x14ac:dyDescent="0.25">
      <c r="A447" s="24" t="s">
        <v>791</v>
      </c>
      <c r="B447" s="24" t="s">
        <v>332</v>
      </c>
      <c r="C447" s="24" t="s">
        <v>330</v>
      </c>
      <c r="D447" s="24">
        <v>611129</v>
      </c>
      <c r="E447" s="24" t="s">
        <v>373</v>
      </c>
      <c r="F447" s="24">
        <v>9699193686</v>
      </c>
      <c r="G447" s="24" t="s">
        <v>797</v>
      </c>
    </row>
    <row r="448" spans="1:7" ht="15.75" hidden="1" customHeight="1" x14ac:dyDescent="0.25">
      <c r="A448" s="24" t="s">
        <v>791</v>
      </c>
      <c r="B448" s="24" t="s">
        <v>333</v>
      </c>
      <c r="C448" s="24" t="s">
        <v>334</v>
      </c>
      <c r="D448" s="24">
        <v>612106</v>
      </c>
      <c r="E448" s="24" t="s">
        <v>373</v>
      </c>
      <c r="F448" s="24">
        <v>9699193686</v>
      </c>
      <c r="G448" s="24" t="s">
        <v>798</v>
      </c>
    </row>
    <row r="449" spans="1:7" ht="15.75" hidden="1" customHeight="1" x14ac:dyDescent="0.25">
      <c r="A449" s="24" t="s">
        <v>791</v>
      </c>
      <c r="B449" s="24" t="s">
        <v>336</v>
      </c>
      <c r="C449" s="24" t="s">
        <v>336</v>
      </c>
      <c r="D449" s="24">
        <v>512883</v>
      </c>
      <c r="E449" s="24" t="s">
        <v>373</v>
      </c>
      <c r="F449" s="24">
        <v>9699193686</v>
      </c>
      <c r="G449" s="24" t="s">
        <v>799</v>
      </c>
    </row>
    <row r="450" spans="1:7" ht="15.75" hidden="1" customHeight="1" x14ac:dyDescent="0.25">
      <c r="A450" s="24" t="s">
        <v>791</v>
      </c>
      <c r="B450" s="24" t="s">
        <v>338</v>
      </c>
      <c r="C450" s="24" t="s">
        <v>338</v>
      </c>
      <c r="D450" s="24">
        <v>512908</v>
      </c>
      <c r="E450" s="24" t="s">
        <v>373</v>
      </c>
      <c r="F450" s="24">
        <v>9699193686</v>
      </c>
      <c r="G450" s="24" t="s">
        <v>800</v>
      </c>
    </row>
    <row r="451" spans="1:7" ht="15.75" hidden="1" customHeight="1" x14ac:dyDescent="0.25">
      <c r="A451" s="24" t="s">
        <v>791</v>
      </c>
      <c r="B451" s="24" t="s">
        <v>340</v>
      </c>
      <c r="C451" s="24" t="s">
        <v>340</v>
      </c>
      <c r="D451" s="24">
        <v>512903</v>
      </c>
      <c r="E451" s="24" t="s">
        <v>373</v>
      </c>
      <c r="F451" s="24">
        <v>9699193686</v>
      </c>
      <c r="G451" s="24" t="s">
        <v>801</v>
      </c>
    </row>
    <row r="452" spans="1:7" ht="15.75" hidden="1" customHeight="1" x14ac:dyDescent="0.25">
      <c r="A452" s="24" t="s">
        <v>791</v>
      </c>
      <c r="B452" s="24" t="s">
        <v>342</v>
      </c>
      <c r="C452" s="24" t="s">
        <v>342</v>
      </c>
      <c r="D452" s="24">
        <v>512903</v>
      </c>
      <c r="E452" s="24" t="s">
        <v>373</v>
      </c>
      <c r="F452" s="24">
        <v>9699193686</v>
      </c>
      <c r="G452" s="24" t="s">
        <v>802</v>
      </c>
    </row>
    <row r="453" spans="1:7" ht="15.75" hidden="1" customHeight="1" x14ac:dyDescent="0.25">
      <c r="A453" s="24" t="s">
        <v>791</v>
      </c>
      <c r="B453" s="24" t="s">
        <v>344</v>
      </c>
      <c r="C453" s="24" t="s">
        <v>345</v>
      </c>
      <c r="D453" s="24">
        <v>512985</v>
      </c>
      <c r="E453" s="24" t="s">
        <v>373</v>
      </c>
      <c r="F453" s="24">
        <v>9699193686</v>
      </c>
      <c r="G453" s="24" t="s">
        <v>803</v>
      </c>
    </row>
    <row r="454" spans="1:7" ht="15.75" hidden="1" customHeight="1" x14ac:dyDescent="0.25">
      <c r="A454" s="24" t="s">
        <v>791</v>
      </c>
      <c r="B454" s="24" t="s">
        <v>434</v>
      </c>
      <c r="C454" s="24" t="s">
        <v>348</v>
      </c>
      <c r="D454" s="24">
        <v>512884</v>
      </c>
      <c r="E454" s="24" t="s">
        <v>373</v>
      </c>
      <c r="F454" s="24">
        <v>9699193686</v>
      </c>
      <c r="G454" s="24" t="s">
        <v>804</v>
      </c>
    </row>
    <row r="455" spans="1:7" ht="15.75" hidden="1" customHeight="1" x14ac:dyDescent="0.25">
      <c r="A455" s="24" t="s">
        <v>791</v>
      </c>
      <c r="B455" s="24" t="s">
        <v>350</v>
      </c>
      <c r="C455" s="24" t="s">
        <v>351</v>
      </c>
      <c r="D455" s="24">
        <v>512902</v>
      </c>
      <c r="E455" s="24" t="s">
        <v>373</v>
      </c>
      <c r="F455" s="24">
        <v>9699193686</v>
      </c>
      <c r="G455" s="24" t="s">
        <v>805</v>
      </c>
    </row>
    <row r="456" spans="1:7" ht="15.75" hidden="1" customHeight="1" x14ac:dyDescent="0.25">
      <c r="A456" s="24" t="s">
        <v>791</v>
      </c>
      <c r="B456" s="24" t="s">
        <v>353</v>
      </c>
      <c r="C456" s="24" t="s">
        <v>353</v>
      </c>
      <c r="D456" s="24">
        <v>512885</v>
      </c>
      <c r="E456" s="24" t="s">
        <v>373</v>
      </c>
      <c r="F456" s="24">
        <v>9699193686</v>
      </c>
      <c r="G456" s="24" t="s">
        <v>806</v>
      </c>
    </row>
    <row r="457" spans="1:7" ht="15.75" hidden="1" customHeight="1" x14ac:dyDescent="0.25">
      <c r="A457" s="24" t="s">
        <v>807</v>
      </c>
      <c r="B457" s="24" t="s">
        <v>313</v>
      </c>
      <c r="C457" s="24" t="s">
        <v>314</v>
      </c>
      <c r="D457" s="24">
        <v>612105</v>
      </c>
      <c r="E457" s="24" t="s">
        <v>373</v>
      </c>
      <c r="F457" s="24">
        <v>9699193686</v>
      </c>
      <c r="G457" s="24" t="s">
        <v>808</v>
      </c>
    </row>
    <row r="458" spans="1:7" ht="15.75" hidden="1" customHeight="1" x14ac:dyDescent="0.25">
      <c r="A458" s="24" t="s">
        <v>807</v>
      </c>
      <c r="B458" s="24" t="s">
        <v>317</v>
      </c>
      <c r="C458" s="24" t="s">
        <v>318</v>
      </c>
      <c r="D458" s="24">
        <v>612105</v>
      </c>
      <c r="E458" s="24" t="s">
        <v>373</v>
      </c>
      <c r="F458" s="24">
        <v>9699193686</v>
      </c>
      <c r="G458" s="24" t="s">
        <v>809</v>
      </c>
    </row>
    <row r="459" spans="1:7" ht="15.75" hidden="1" customHeight="1" x14ac:dyDescent="0.25">
      <c r="A459" s="24" t="s">
        <v>807</v>
      </c>
      <c r="B459" s="24" t="s">
        <v>320</v>
      </c>
      <c r="C459" s="24" t="s">
        <v>320</v>
      </c>
      <c r="D459" s="24">
        <v>611128</v>
      </c>
      <c r="E459" s="24" t="s">
        <v>373</v>
      </c>
      <c r="F459" s="24">
        <v>9699193686</v>
      </c>
      <c r="G459" s="24" t="s">
        <v>810</v>
      </c>
    </row>
    <row r="460" spans="1:7" ht="15.75" hidden="1" customHeight="1" x14ac:dyDescent="0.25">
      <c r="A460" s="24" t="s">
        <v>807</v>
      </c>
      <c r="B460" s="24" t="s">
        <v>322</v>
      </c>
      <c r="C460" s="24" t="s">
        <v>322</v>
      </c>
      <c r="D460" s="24">
        <v>611129</v>
      </c>
      <c r="E460" s="24" t="s">
        <v>373</v>
      </c>
      <c r="F460" s="24">
        <v>9699193686</v>
      </c>
      <c r="G460" s="24" t="s">
        <v>811</v>
      </c>
    </row>
    <row r="461" spans="1:7" ht="15.75" hidden="1" customHeight="1" x14ac:dyDescent="0.25">
      <c r="A461" s="24" t="s">
        <v>807</v>
      </c>
      <c r="B461" s="24" t="s">
        <v>324</v>
      </c>
      <c r="C461" s="24" t="s">
        <v>324</v>
      </c>
      <c r="D461" s="24">
        <v>512904</v>
      </c>
      <c r="E461" s="24" t="s">
        <v>373</v>
      </c>
      <c r="F461" s="24">
        <v>9699193686</v>
      </c>
      <c r="G461" s="24" t="s">
        <v>812</v>
      </c>
    </row>
    <row r="462" spans="1:7" ht="15.75" hidden="1" customHeight="1" x14ac:dyDescent="0.25">
      <c r="A462" s="24" t="s">
        <v>807</v>
      </c>
      <c r="B462" s="24" t="s">
        <v>332</v>
      </c>
      <c r="C462" s="24" t="s">
        <v>330</v>
      </c>
      <c r="D462" s="24">
        <v>611129</v>
      </c>
      <c r="E462" s="24" t="s">
        <v>373</v>
      </c>
      <c r="F462" s="24">
        <v>9699193686</v>
      </c>
      <c r="G462" s="24" t="s">
        <v>813</v>
      </c>
    </row>
    <row r="463" spans="1:7" ht="15.75" hidden="1" customHeight="1" x14ac:dyDescent="0.25">
      <c r="A463" s="24" t="s">
        <v>807</v>
      </c>
      <c r="B463" s="24" t="s">
        <v>333</v>
      </c>
      <c r="C463" s="24" t="s">
        <v>334</v>
      </c>
      <c r="D463" s="24">
        <v>612106</v>
      </c>
      <c r="E463" s="24" t="s">
        <v>373</v>
      </c>
      <c r="F463" s="24">
        <v>9699193686</v>
      </c>
      <c r="G463" s="24" t="s">
        <v>814</v>
      </c>
    </row>
    <row r="464" spans="1:7" ht="15.75" hidden="1" customHeight="1" x14ac:dyDescent="0.25">
      <c r="A464" s="24" t="s">
        <v>807</v>
      </c>
      <c r="B464" s="24" t="s">
        <v>336</v>
      </c>
      <c r="C464" s="24" t="s">
        <v>336</v>
      </c>
      <c r="D464" s="24">
        <v>512883</v>
      </c>
      <c r="E464" s="24" t="s">
        <v>373</v>
      </c>
      <c r="F464" s="24">
        <v>9699193686</v>
      </c>
      <c r="G464" s="24" t="s">
        <v>815</v>
      </c>
    </row>
    <row r="465" spans="1:26" ht="15.75" hidden="1" customHeight="1" x14ac:dyDescent="0.25">
      <c r="A465" s="24" t="s">
        <v>807</v>
      </c>
      <c r="B465" s="24" t="s">
        <v>338</v>
      </c>
      <c r="C465" s="24" t="s">
        <v>338</v>
      </c>
      <c r="D465" s="24">
        <v>512908</v>
      </c>
      <c r="E465" s="24" t="s">
        <v>373</v>
      </c>
      <c r="F465" s="24">
        <v>9699193686</v>
      </c>
      <c r="G465" s="24" t="s">
        <v>816</v>
      </c>
    </row>
    <row r="466" spans="1:26" ht="15.75" hidden="1" customHeight="1" x14ac:dyDescent="0.25">
      <c r="A466" s="24" t="s">
        <v>807</v>
      </c>
      <c r="B466" s="24" t="s">
        <v>340</v>
      </c>
      <c r="C466" s="24" t="s">
        <v>340</v>
      </c>
      <c r="D466" s="24">
        <v>512903</v>
      </c>
      <c r="E466" s="24" t="s">
        <v>373</v>
      </c>
      <c r="F466" s="24">
        <v>9699193686</v>
      </c>
      <c r="G466" s="24" t="s">
        <v>817</v>
      </c>
    </row>
    <row r="467" spans="1:26" ht="15.75" hidden="1" customHeight="1" x14ac:dyDescent="0.25">
      <c r="A467" s="24" t="s">
        <v>807</v>
      </c>
      <c r="B467" s="24" t="s">
        <v>342</v>
      </c>
      <c r="C467" s="24" t="s">
        <v>342</v>
      </c>
      <c r="D467" s="24">
        <v>512903</v>
      </c>
      <c r="E467" s="24" t="s">
        <v>373</v>
      </c>
      <c r="F467" s="24">
        <v>9699193686</v>
      </c>
      <c r="G467" s="24" t="s">
        <v>818</v>
      </c>
    </row>
    <row r="468" spans="1:26" ht="15.75" hidden="1" customHeight="1" x14ac:dyDescent="0.25">
      <c r="A468" s="24" t="s">
        <v>807</v>
      </c>
      <c r="B468" s="24" t="s">
        <v>344</v>
      </c>
      <c r="C468" s="24" t="s">
        <v>345</v>
      </c>
      <c r="D468" s="24">
        <v>512985</v>
      </c>
      <c r="E468" s="24" t="s">
        <v>373</v>
      </c>
      <c r="F468" s="24">
        <v>9699193686</v>
      </c>
      <c r="G468" s="24" t="s">
        <v>819</v>
      </c>
    </row>
    <row r="469" spans="1:26" ht="15.75" hidden="1" customHeight="1" x14ac:dyDescent="0.25">
      <c r="A469" s="24" t="s">
        <v>807</v>
      </c>
      <c r="B469" s="24" t="s">
        <v>347</v>
      </c>
      <c r="C469" s="24" t="s">
        <v>348</v>
      </c>
      <c r="D469" s="24">
        <v>512884</v>
      </c>
      <c r="E469" s="24" t="s">
        <v>373</v>
      </c>
      <c r="F469" s="24">
        <v>9699193686</v>
      </c>
      <c r="G469" s="24" t="s">
        <v>820</v>
      </c>
    </row>
    <row r="470" spans="1:26" ht="15.75" hidden="1" customHeight="1" x14ac:dyDescent="0.25">
      <c r="A470" s="24" t="s">
        <v>807</v>
      </c>
      <c r="B470" s="24" t="s">
        <v>452</v>
      </c>
      <c r="C470" s="24" t="s">
        <v>453</v>
      </c>
      <c r="D470" s="24">
        <v>512916</v>
      </c>
      <c r="E470" s="24" t="s">
        <v>373</v>
      </c>
      <c r="F470" s="24">
        <v>9699193686</v>
      </c>
      <c r="G470" s="24" t="s">
        <v>821</v>
      </c>
      <c r="H470" s="4"/>
      <c r="I470" s="4"/>
      <c r="J470" s="4"/>
      <c r="K470" s="4"/>
      <c r="L470" s="4"/>
      <c r="M470" s="4"/>
      <c r="N470" s="4"/>
      <c r="O470" s="4"/>
      <c r="P470" s="4"/>
      <c r="Q470" s="4"/>
      <c r="R470" s="4"/>
      <c r="S470" s="4"/>
      <c r="T470" s="4"/>
      <c r="U470" s="4"/>
      <c r="V470" s="4"/>
      <c r="W470" s="4"/>
      <c r="X470" s="4"/>
      <c r="Y470" s="4"/>
      <c r="Z470" s="4"/>
    </row>
    <row r="471" spans="1:26" ht="15.75" hidden="1" customHeight="1" x14ac:dyDescent="0.25">
      <c r="A471" s="24" t="s">
        <v>807</v>
      </c>
      <c r="B471" s="24" t="s">
        <v>455</v>
      </c>
      <c r="C471" s="24" t="s">
        <v>453</v>
      </c>
      <c r="D471" s="24">
        <v>512916</v>
      </c>
      <c r="E471" s="24" t="s">
        <v>373</v>
      </c>
      <c r="F471" s="24">
        <v>9699193686</v>
      </c>
      <c r="G471" s="24" t="s">
        <v>821</v>
      </c>
      <c r="H471" s="4"/>
      <c r="I471" s="4"/>
      <c r="J471" s="4"/>
      <c r="K471" s="4"/>
      <c r="L471" s="4"/>
      <c r="M471" s="4"/>
      <c r="N471" s="4"/>
      <c r="O471" s="4"/>
      <c r="P471" s="4"/>
      <c r="Q471" s="4"/>
      <c r="R471" s="4"/>
      <c r="S471" s="4"/>
      <c r="T471" s="4"/>
      <c r="U471" s="4"/>
      <c r="V471" s="4"/>
      <c r="W471" s="4"/>
      <c r="X471" s="4"/>
      <c r="Y471" s="4"/>
      <c r="Z471" s="4"/>
    </row>
    <row r="472" spans="1:26" ht="15.75" hidden="1" customHeight="1" x14ac:dyDescent="0.25">
      <c r="A472" s="24" t="s">
        <v>807</v>
      </c>
      <c r="B472" s="24" t="s">
        <v>822</v>
      </c>
      <c r="C472" s="24" t="s">
        <v>823</v>
      </c>
      <c r="D472" s="24">
        <v>612105</v>
      </c>
      <c r="E472" s="24" t="s">
        <v>373</v>
      </c>
      <c r="F472" s="24">
        <v>9699193686</v>
      </c>
      <c r="G472" s="24" t="s">
        <v>824</v>
      </c>
      <c r="H472" s="4"/>
      <c r="I472" s="4"/>
      <c r="J472" s="4"/>
      <c r="K472" s="4"/>
      <c r="L472" s="4"/>
      <c r="M472" s="4"/>
      <c r="N472" s="4"/>
      <c r="O472" s="4"/>
      <c r="P472" s="4"/>
      <c r="Q472" s="4"/>
      <c r="R472" s="4"/>
      <c r="S472" s="4"/>
      <c r="T472" s="4"/>
      <c r="U472" s="4"/>
      <c r="V472" s="4"/>
      <c r="W472" s="4"/>
      <c r="X472" s="4"/>
      <c r="Y472" s="4"/>
      <c r="Z472" s="4"/>
    </row>
    <row r="473" spans="1:26" ht="15.75" hidden="1" customHeight="1" x14ac:dyDescent="0.25">
      <c r="A473" s="24" t="s">
        <v>807</v>
      </c>
      <c r="B473" s="24" t="s">
        <v>350</v>
      </c>
      <c r="C473" s="24" t="s">
        <v>351</v>
      </c>
      <c r="D473" s="24">
        <v>512902</v>
      </c>
      <c r="E473" s="24" t="s">
        <v>373</v>
      </c>
      <c r="F473" s="24">
        <v>9699193686</v>
      </c>
      <c r="G473" s="24" t="s">
        <v>825</v>
      </c>
    </row>
    <row r="474" spans="1:26" ht="15.75" hidden="1" customHeight="1" x14ac:dyDescent="0.25">
      <c r="A474" s="24" t="s">
        <v>807</v>
      </c>
      <c r="B474" s="24" t="s">
        <v>353</v>
      </c>
      <c r="C474" s="24" t="s">
        <v>353</v>
      </c>
      <c r="D474" s="24">
        <v>512885</v>
      </c>
      <c r="E474" s="24" t="s">
        <v>373</v>
      </c>
      <c r="F474" s="24">
        <v>9699193686</v>
      </c>
      <c r="G474" s="24" t="s">
        <v>826</v>
      </c>
    </row>
    <row r="475" spans="1:26" ht="15.75" hidden="1" customHeight="1" x14ac:dyDescent="0.25">
      <c r="A475" s="24" t="s">
        <v>827</v>
      </c>
      <c r="B475" s="24" t="s">
        <v>313</v>
      </c>
      <c r="C475" s="24" t="s">
        <v>314</v>
      </c>
      <c r="D475" s="24">
        <v>612105</v>
      </c>
      <c r="E475" s="24" t="s">
        <v>373</v>
      </c>
      <c r="F475" s="24">
        <v>9699193686</v>
      </c>
      <c r="G475" s="24" t="s">
        <v>828</v>
      </c>
    </row>
    <row r="476" spans="1:26" ht="15.75" hidden="1" customHeight="1" x14ac:dyDescent="0.25">
      <c r="A476" s="24" t="s">
        <v>827</v>
      </c>
      <c r="B476" s="24" t="s">
        <v>317</v>
      </c>
      <c r="C476" s="24" t="s">
        <v>318</v>
      </c>
      <c r="D476" s="24">
        <v>612105</v>
      </c>
      <c r="E476" s="24" t="s">
        <v>373</v>
      </c>
      <c r="F476" s="24">
        <v>9699193686</v>
      </c>
      <c r="G476" s="24" t="s">
        <v>829</v>
      </c>
    </row>
    <row r="477" spans="1:26" ht="15.75" hidden="1" customHeight="1" x14ac:dyDescent="0.25">
      <c r="A477" s="24" t="s">
        <v>827</v>
      </c>
      <c r="B477" s="24" t="s">
        <v>320</v>
      </c>
      <c r="C477" s="24" t="s">
        <v>320</v>
      </c>
      <c r="D477" s="24">
        <v>611128</v>
      </c>
      <c r="E477" s="24" t="s">
        <v>373</v>
      </c>
      <c r="F477" s="24">
        <v>9699193686</v>
      </c>
      <c r="G477" s="24" t="s">
        <v>830</v>
      </c>
    </row>
    <row r="478" spans="1:26" ht="15.75" hidden="1" customHeight="1" x14ac:dyDescent="0.25">
      <c r="A478" s="24" t="s">
        <v>827</v>
      </c>
      <c r="B478" s="24" t="s">
        <v>322</v>
      </c>
      <c r="C478" s="24" t="s">
        <v>322</v>
      </c>
      <c r="D478" s="24">
        <v>611129</v>
      </c>
      <c r="E478" s="24" t="s">
        <v>373</v>
      </c>
      <c r="F478" s="24">
        <v>9699193686</v>
      </c>
      <c r="G478" s="24" t="s">
        <v>831</v>
      </c>
    </row>
    <row r="479" spans="1:26" ht="15.75" hidden="1" customHeight="1" x14ac:dyDescent="0.25">
      <c r="A479" s="24" t="s">
        <v>827</v>
      </c>
      <c r="B479" s="24" t="s">
        <v>324</v>
      </c>
      <c r="C479" s="24" t="s">
        <v>324</v>
      </c>
      <c r="D479" s="24">
        <v>512904</v>
      </c>
      <c r="E479" s="24" t="s">
        <v>373</v>
      </c>
      <c r="F479" s="24">
        <v>9699193686</v>
      </c>
      <c r="G479" s="24" t="s">
        <v>832</v>
      </c>
    </row>
    <row r="480" spans="1:26" ht="15.75" hidden="1" customHeight="1" x14ac:dyDescent="0.25">
      <c r="A480" s="24" t="s">
        <v>827</v>
      </c>
      <c r="B480" s="24" t="s">
        <v>332</v>
      </c>
      <c r="C480" s="24" t="s">
        <v>330</v>
      </c>
      <c r="D480" s="24">
        <v>611129</v>
      </c>
      <c r="E480" s="24" t="s">
        <v>373</v>
      </c>
      <c r="F480" s="24">
        <v>9699193686</v>
      </c>
      <c r="G480" s="24" t="s">
        <v>833</v>
      </c>
    </row>
    <row r="481" spans="1:7" ht="15.75" hidden="1" customHeight="1" x14ac:dyDescent="0.25">
      <c r="A481" s="24" t="s">
        <v>827</v>
      </c>
      <c r="B481" s="24" t="s">
        <v>333</v>
      </c>
      <c r="C481" s="24" t="s">
        <v>334</v>
      </c>
      <c r="D481" s="24">
        <v>612106</v>
      </c>
      <c r="E481" s="24" t="s">
        <v>373</v>
      </c>
      <c r="F481" s="24">
        <v>9699193686</v>
      </c>
      <c r="G481" s="24" t="s">
        <v>834</v>
      </c>
    </row>
    <row r="482" spans="1:7" ht="15.75" hidden="1" customHeight="1" x14ac:dyDescent="0.25">
      <c r="A482" s="24" t="s">
        <v>827</v>
      </c>
      <c r="B482" s="24" t="s">
        <v>336</v>
      </c>
      <c r="C482" s="24" t="s">
        <v>336</v>
      </c>
      <c r="D482" s="24">
        <v>512883</v>
      </c>
      <c r="E482" s="24" t="s">
        <v>373</v>
      </c>
      <c r="F482" s="24">
        <v>9699193686</v>
      </c>
      <c r="G482" s="24" t="s">
        <v>835</v>
      </c>
    </row>
    <row r="483" spans="1:7" ht="15.75" hidden="1" customHeight="1" x14ac:dyDescent="0.25">
      <c r="A483" s="24" t="s">
        <v>827</v>
      </c>
      <c r="B483" s="24" t="s">
        <v>338</v>
      </c>
      <c r="C483" s="24" t="s">
        <v>338</v>
      </c>
      <c r="D483" s="24">
        <v>512908</v>
      </c>
      <c r="E483" s="24" t="s">
        <v>373</v>
      </c>
      <c r="F483" s="24">
        <v>9699193686</v>
      </c>
      <c r="G483" s="24" t="s">
        <v>836</v>
      </c>
    </row>
    <row r="484" spans="1:7" ht="15.75" hidden="1" customHeight="1" x14ac:dyDescent="0.25">
      <c r="A484" s="24" t="s">
        <v>827</v>
      </c>
      <c r="B484" s="24" t="s">
        <v>340</v>
      </c>
      <c r="C484" s="24" t="s">
        <v>340</v>
      </c>
      <c r="D484" s="24">
        <v>512903</v>
      </c>
      <c r="E484" s="24" t="s">
        <v>373</v>
      </c>
      <c r="F484" s="24">
        <v>9699193686</v>
      </c>
      <c r="G484" s="24" t="s">
        <v>837</v>
      </c>
    </row>
    <row r="485" spans="1:7" ht="15.75" hidden="1" customHeight="1" x14ac:dyDescent="0.25">
      <c r="A485" s="24" t="s">
        <v>827</v>
      </c>
      <c r="B485" s="24" t="s">
        <v>342</v>
      </c>
      <c r="C485" s="24" t="s">
        <v>342</v>
      </c>
      <c r="D485" s="24">
        <v>512903</v>
      </c>
      <c r="E485" s="24" t="s">
        <v>373</v>
      </c>
      <c r="F485" s="24">
        <v>9699193686</v>
      </c>
      <c r="G485" s="24" t="s">
        <v>838</v>
      </c>
    </row>
    <row r="486" spans="1:7" ht="15.75" hidden="1" customHeight="1" x14ac:dyDescent="0.25">
      <c r="A486" s="24" t="s">
        <v>827</v>
      </c>
      <c r="B486" s="24" t="s">
        <v>344</v>
      </c>
      <c r="C486" s="24" t="s">
        <v>345</v>
      </c>
      <c r="D486" s="24">
        <v>512985</v>
      </c>
      <c r="E486" s="24" t="s">
        <v>373</v>
      </c>
      <c r="F486" s="24">
        <v>9699193686</v>
      </c>
      <c r="G486" s="24" t="s">
        <v>839</v>
      </c>
    </row>
    <row r="487" spans="1:7" ht="15.75" hidden="1" customHeight="1" x14ac:dyDescent="0.25">
      <c r="A487" s="24" t="s">
        <v>827</v>
      </c>
      <c r="B487" s="24" t="s">
        <v>347</v>
      </c>
      <c r="C487" s="24" t="s">
        <v>348</v>
      </c>
      <c r="D487" s="24">
        <v>512884</v>
      </c>
      <c r="E487" s="24" t="s">
        <v>373</v>
      </c>
      <c r="F487" s="24">
        <v>9699193686</v>
      </c>
      <c r="G487" s="24" t="s">
        <v>840</v>
      </c>
    </row>
    <row r="488" spans="1:7" ht="15.75" hidden="1" customHeight="1" x14ac:dyDescent="0.25">
      <c r="A488" s="24" t="s">
        <v>827</v>
      </c>
      <c r="B488" s="24" t="s">
        <v>350</v>
      </c>
      <c r="C488" s="24" t="s">
        <v>351</v>
      </c>
      <c r="D488" s="24">
        <v>512902</v>
      </c>
      <c r="E488" s="24" t="s">
        <v>373</v>
      </c>
      <c r="F488" s="24">
        <v>9699193686</v>
      </c>
      <c r="G488" s="24" t="s">
        <v>841</v>
      </c>
    </row>
    <row r="489" spans="1:7" ht="15.75" hidden="1" customHeight="1" x14ac:dyDescent="0.25">
      <c r="A489" s="24" t="s">
        <v>827</v>
      </c>
      <c r="B489" s="24" t="s">
        <v>353</v>
      </c>
      <c r="C489" s="24" t="s">
        <v>353</v>
      </c>
      <c r="D489" s="24">
        <v>512885</v>
      </c>
      <c r="E489" s="24" t="s">
        <v>373</v>
      </c>
      <c r="F489" s="24">
        <v>9699193686</v>
      </c>
      <c r="G489" s="24" t="s">
        <v>842</v>
      </c>
    </row>
    <row r="490" spans="1:7" ht="15.75" hidden="1" customHeight="1" x14ac:dyDescent="0.25">
      <c r="A490" s="25" t="s">
        <v>843</v>
      </c>
      <c r="B490" s="24" t="s">
        <v>844</v>
      </c>
      <c r="C490" s="24" t="s">
        <v>844</v>
      </c>
      <c r="D490" s="25">
        <v>612105</v>
      </c>
      <c r="E490" s="25" t="s">
        <v>845</v>
      </c>
      <c r="F490" s="25">
        <v>9600101858</v>
      </c>
      <c r="G490" s="24" t="s">
        <v>846</v>
      </c>
    </row>
    <row r="491" spans="1:7" ht="15.75" hidden="1" customHeight="1" x14ac:dyDescent="0.25">
      <c r="A491" s="24" t="s">
        <v>843</v>
      </c>
      <c r="B491" s="24" t="s">
        <v>844</v>
      </c>
      <c r="C491" s="24" t="s">
        <v>844</v>
      </c>
      <c r="D491" s="25">
        <v>612105</v>
      </c>
      <c r="E491" s="25" t="s">
        <v>845</v>
      </c>
      <c r="F491" s="25">
        <v>9600101858</v>
      </c>
      <c r="G491" s="24" t="s">
        <v>846</v>
      </c>
    </row>
    <row r="492" spans="1:7" ht="15.75" hidden="1" customHeight="1" x14ac:dyDescent="0.25">
      <c r="A492" s="24" t="s">
        <v>843</v>
      </c>
      <c r="B492" s="24" t="s">
        <v>626</v>
      </c>
      <c r="C492" s="24" t="s">
        <v>626</v>
      </c>
      <c r="D492" s="25">
        <v>512901</v>
      </c>
      <c r="E492" s="25" t="s">
        <v>845</v>
      </c>
      <c r="F492" s="25">
        <v>9600101858</v>
      </c>
      <c r="G492" s="24" t="s">
        <v>847</v>
      </c>
    </row>
    <row r="493" spans="1:7" ht="15.75" hidden="1" customHeight="1" x14ac:dyDescent="0.25">
      <c r="A493" s="24" t="s">
        <v>843</v>
      </c>
      <c r="B493" s="24" t="s">
        <v>453</v>
      </c>
      <c r="C493" s="24" t="s">
        <v>453</v>
      </c>
      <c r="D493" s="25">
        <v>512916</v>
      </c>
      <c r="E493" s="25" t="s">
        <v>845</v>
      </c>
      <c r="F493" s="25">
        <v>9600101858</v>
      </c>
      <c r="G493" s="24" t="s">
        <v>848</v>
      </c>
    </row>
    <row r="494" spans="1:7" ht="15.75" hidden="1" customHeight="1" x14ac:dyDescent="0.25">
      <c r="A494" s="24" t="s">
        <v>843</v>
      </c>
      <c r="B494" s="24" t="s">
        <v>849</v>
      </c>
      <c r="C494" s="24" t="s">
        <v>849</v>
      </c>
      <c r="D494" s="25">
        <v>611129</v>
      </c>
      <c r="E494" s="25" t="s">
        <v>845</v>
      </c>
      <c r="F494" s="25">
        <v>9600101858</v>
      </c>
      <c r="G494" s="24" t="s">
        <v>850</v>
      </c>
    </row>
    <row r="495" spans="1:7" ht="15.75" hidden="1" customHeight="1" x14ac:dyDescent="0.25">
      <c r="A495" s="24" t="s">
        <v>312</v>
      </c>
      <c r="B495" s="25" t="s">
        <v>851</v>
      </c>
      <c r="C495" s="25" t="s">
        <v>852</v>
      </c>
      <c r="D495" s="25">
        <v>612105</v>
      </c>
      <c r="E495" s="24" t="s">
        <v>315</v>
      </c>
      <c r="F495" s="24">
        <v>9699193686</v>
      </c>
      <c r="G495" s="24" t="s">
        <v>853</v>
      </c>
    </row>
    <row r="496" spans="1:7" ht="15.75" hidden="1" customHeight="1" x14ac:dyDescent="0.25">
      <c r="A496" s="26" t="s">
        <v>355</v>
      </c>
      <c r="B496" s="24" t="s">
        <v>851</v>
      </c>
      <c r="C496" s="24" t="s">
        <v>852</v>
      </c>
      <c r="D496" s="24">
        <v>612105</v>
      </c>
      <c r="E496" s="24" t="s">
        <v>356</v>
      </c>
      <c r="F496" s="24">
        <v>9699193686</v>
      </c>
      <c r="G496" s="24" t="s">
        <v>854</v>
      </c>
    </row>
    <row r="497" spans="1:7" ht="15.75" hidden="1" customHeight="1" x14ac:dyDescent="0.25">
      <c r="A497" s="27" t="s">
        <v>372</v>
      </c>
      <c r="B497" s="24" t="s">
        <v>851</v>
      </c>
      <c r="C497" s="24" t="s">
        <v>852</v>
      </c>
      <c r="D497" s="24">
        <v>612105</v>
      </c>
      <c r="E497" s="24" t="s">
        <v>373</v>
      </c>
      <c r="F497" s="24">
        <v>9699193686</v>
      </c>
      <c r="G497" s="24" t="s">
        <v>855</v>
      </c>
    </row>
    <row r="498" spans="1:7" ht="15.75" hidden="1" customHeight="1" x14ac:dyDescent="0.25">
      <c r="A498" s="26" t="s">
        <v>389</v>
      </c>
      <c r="B498" s="24" t="s">
        <v>851</v>
      </c>
      <c r="C498" s="24" t="s">
        <v>852</v>
      </c>
      <c r="D498" s="24">
        <v>612105</v>
      </c>
      <c r="E498" s="24" t="s">
        <v>373</v>
      </c>
      <c r="F498" s="24">
        <v>9699193686</v>
      </c>
      <c r="G498" s="24" t="s">
        <v>856</v>
      </c>
    </row>
    <row r="499" spans="1:7" ht="15.75" hidden="1" customHeight="1" x14ac:dyDescent="0.25">
      <c r="A499" s="24" t="s">
        <v>405</v>
      </c>
      <c r="B499" s="24" t="s">
        <v>851</v>
      </c>
      <c r="C499" s="24" t="s">
        <v>852</v>
      </c>
      <c r="D499" s="24">
        <v>612105</v>
      </c>
      <c r="E499" s="24" t="s">
        <v>373</v>
      </c>
      <c r="F499" s="24">
        <v>9699193686</v>
      </c>
      <c r="G499" s="24" t="s">
        <v>857</v>
      </c>
    </row>
    <row r="500" spans="1:7" ht="15.75" hidden="1" customHeight="1" x14ac:dyDescent="0.25">
      <c r="A500" s="26" t="s">
        <v>421</v>
      </c>
      <c r="B500" s="24" t="s">
        <v>858</v>
      </c>
      <c r="C500" s="24" t="s">
        <v>852</v>
      </c>
      <c r="D500" s="24">
        <v>612105</v>
      </c>
      <c r="E500" s="24" t="s">
        <v>373</v>
      </c>
      <c r="F500" s="24">
        <v>9699193686</v>
      </c>
      <c r="G500" s="24" t="s">
        <v>859</v>
      </c>
    </row>
    <row r="501" spans="1:7" ht="15.75" hidden="1" customHeight="1" x14ac:dyDescent="0.25">
      <c r="A501" s="24" t="s">
        <v>438</v>
      </c>
      <c r="B501" s="24" t="s">
        <v>851</v>
      </c>
      <c r="C501" s="24" t="s">
        <v>852</v>
      </c>
      <c r="D501" s="24">
        <v>612105</v>
      </c>
      <c r="E501" s="24" t="s">
        <v>373</v>
      </c>
      <c r="F501" s="24">
        <v>9699193686</v>
      </c>
      <c r="G501" s="24" t="s">
        <v>860</v>
      </c>
    </row>
    <row r="502" spans="1:7" ht="15.75" hidden="1" customHeight="1" x14ac:dyDescent="0.25">
      <c r="A502" s="28" t="s">
        <v>807</v>
      </c>
      <c r="B502" s="24" t="s">
        <v>851</v>
      </c>
      <c r="C502" s="24" t="s">
        <v>852</v>
      </c>
      <c r="D502" s="24">
        <v>612105</v>
      </c>
      <c r="E502" s="24" t="s">
        <v>373</v>
      </c>
      <c r="F502" s="24">
        <v>9699193686</v>
      </c>
      <c r="G502" s="24" t="s">
        <v>861</v>
      </c>
    </row>
    <row r="503" spans="1:7" ht="15.75" hidden="1" customHeight="1" x14ac:dyDescent="0.25">
      <c r="A503" s="27" t="s">
        <v>312</v>
      </c>
      <c r="B503" s="25" t="s">
        <v>862</v>
      </c>
      <c r="C503" s="25" t="s">
        <v>863</v>
      </c>
      <c r="D503" s="24">
        <v>612105</v>
      </c>
      <c r="E503" s="24" t="s">
        <v>315</v>
      </c>
      <c r="F503" s="24">
        <v>9699193686</v>
      </c>
      <c r="G503" s="24" t="s">
        <v>864</v>
      </c>
    </row>
    <row r="504" spans="1:7" ht="15.75" hidden="1" customHeight="1" x14ac:dyDescent="0.25">
      <c r="A504" s="26" t="s">
        <v>355</v>
      </c>
      <c r="B504" s="24" t="s">
        <v>862</v>
      </c>
      <c r="C504" s="24" t="s">
        <v>863</v>
      </c>
      <c r="D504" s="24">
        <v>612105</v>
      </c>
      <c r="E504" s="24" t="s">
        <v>356</v>
      </c>
      <c r="F504" s="24">
        <v>9699193686</v>
      </c>
      <c r="G504" s="24" t="s">
        <v>865</v>
      </c>
    </row>
    <row r="505" spans="1:7" ht="15.75" hidden="1" customHeight="1" x14ac:dyDescent="0.25">
      <c r="A505" s="27" t="s">
        <v>372</v>
      </c>
      <c r="B505" s="24" t="s">
        <v>862</v>
      </c>
      <c r="C505" s="24" t="s">
        <v>863</v>
      </c>
      <c r="D505" s="24">
        <v>612105</v>
      </c>
      <c r="E505" s="24" t="s">
        <v>373</v>
      </c>
      <c r="F505" s="24">
        <v>9699193686</v>
      </c>
      <c r="G505" s="24" t="s">
        <v>866</v>
      </c>
    </row>
    <row r="506" spans="1:7" ht="15.75" hidden="1" customHeight="1" x14ac:dyDescent="0.25">
      <c r="A506" s="26" t="s">
        <v>389</v>
      </c>
      <c r="B506" s="24" t="s">
        <v>862</v>
      </c>
      <c r="C506" s="24" t="s">
        <v>863</v>
      </c>
      <c r="D506" s="24">
        <v>612105</v>
      </c>
      <c r="E506" s="24" t="s">
        <v>373</v>
      </c>
      <c r="F506" s="24">
        <v>9699193686</v>
      </c>
      <c r="G506" s="24" t="s">
        <v>867</v>
      </c>
    </row>
    <row r="507" spans="1:7" ht="15.75" hidden="1" customHeight="1" x14ac:dyDescent="0.25">
      <c r="A507" s="27" t="s">
        <v>405</v>
      </c>
      <c r="B507" s="24" t="s">
        <v>862</v>
      </c>
      <c r="C507" s="24" t="s">
        <v>863</v>
      </c>
      <c r="D507" s="24">
        <v>612105</v>
      </c>
      <c r="E507" s="24" t="s">
        <v>373</v>
      </c>
      <c r="F507" s="24">
        <v>9699193686</v>
      </c>
      <c r="G507" s="24" t="s">
        <v>868</v>
      </c>
    </row>
    <row r="508" spans="1:7" ht="15.75" hidden="1" customHeight="1" x14ac:dyDescent="0.25">
      <c r="A508" s="26" t="s">
        <v>421</v>
      </c>
      <c r="B508" s="24" t="s">
        <v>862</v>
      </c>
      <c r="C508" s="24" t="s">
        <v>863</v>
      </c>
      <c r="D508" s="24">
        <v>612105</v>
      </c>
      <c r="E508" s="24" t="s">
        <v>373</v>
      </c>
      <c r="F508" s="24">
        <v>9699193686</v>
      </c>
      <c r="G508" s="24" t="s">
        <v>869</v>
      </c>
    </row>
    <row r="509" spans="1:7" ht="15.75" hidden="1" customHeight="1" x14ac:dyDescent="0.25">
      <c r="A509" s="27" t="s">
        <v>438</v>
      </c>
      <c r="B509" s="24" t="s">
        <v>862</v>
      </c>
      <c r="C509" s="24" t="s">
        <v>863</v>
      </c>
      <c r="D509" s="24">
        <v>612105</v>
      </c>
      <c r="E509" s="24" t="s">
        <v>373</v>
      </c>
      <c r="F509" s="24">
        <v>9699193686</v>
      </c>
      <c r="G509" s="24" t="s">
        <v>870</v>
      </c>
    </row>
    <row r="510" spans="1:7" ht="15.75" hidden="1" customHeight="1" x14ac:dyDescent="0.25">
      <c r="A510" s="28" t="s">
        <v>807</v>
      </c>
      <c r="B510" s="24" t="s">
        <v>862</v>
      </c>
      <c r="C510" s="24" t="s">
        <v>863</v>
      </c>
      <c r="D510" s="24">
        <v>612105</v>
      </c>
      <c r="E510" s="24" t="s">
        <v>373</v>
      </c>
      <c r="F510" s="24">
        <v>9699193686</v>
      </c>
      <c r="G510" s="24" t="s">
        <v>871</v>
      </c>
    </row>
    <row r="511" spans="1:7" ht="15.75" customHeight="1" x14ac:dyDescent="0.25">
      <c r="A511" s="24" t="s">
        <v>532</v>
      </c>
      <c r="B511" s="25" t="s">
        <v>872</v>
      </c>
      <c r="C511" s="24" t="s">
        <v>872</v>
      </c>
      <c r="D511" s="25">
        <v>512917</v>
      </c>
      <c r="E511" s="24" t="s">
        <v>522</v>
      </c>
      <c r="F511" s="24">
        <v>9699193721</v>
      </c>
      <c r="G511" s="24" t="s">
        <v>873</v>
      </c>
    </row>
    <row r="512" spans="1:7" ht="15.75" customHeight="1" x14ac:dyDescent="0.25">
      <c r="A512" s="24" t="s">
        <v>532</v>
      </c>
      <c r="B512" s="25" t="s">
        <v>874</v>
      </c>
      <c r="C512" s="24" t="s">
        <v>874</v>
      </c>
      <c r="D512" s="25">
        <v>512885</v>
      </c>
      <c r="E512" s="24" t="s">
        <v>522</v>
      </c>
      <c r="F512" s="24">
        <v>9699193721</v>
      </c>
      <c r="G512" s="24" t="s">
        <v>875</v>
      </c>
    </row>
    <row r="513" spans="1:7" ht="15.75" hidden="1" customHeight="1" x14ac:dyDescent="0.25">
      <c r="A513" s="24" t="s">
        <v>511</v>
      </c>
      <c r="B513" s="25" t="s">
        <v>876</v>
      </c>
      <c r="C513" s="25" t="s">
        <v>876</v>
      </c>
      <c r="D513" s="25">
        <v>612105</v>
      </c>
      <c r="E513" s="24" t="s">
        <v>491</v>
      </c>
      <c r="F513" s="24">
        <v>9699193721</v>
      </c>
      <c r="G513" s="24" t="s">
        <v>877</v>
      </c>
    </row>
    <row r="514" spans="1:7" ht="15.75" hidden="1" customHeight="1" x14ac:dyDescent="0.25">
      <c r="A514" s="24" t="s">
        <v>511</v>
      </c>
      <c r="B514" s="25" t="s">
        <v>878</v>
      </c>
      <c r="C514" s="25" t="s">
        <v>878</v>
      </c>
      <c r="D514" s="25">
        <v>612105</v>
      </c>
      <c r="E514" s="24" t="s">
        <v>491</v>
      </c>
      <c r="F514" s="24">
        <v>9699193721</v>
      </c>
      <c r="G514" s="24" t="s">
        <v>879</v>
      </c>
    </row>
    <row r="515" spans="1:7" ht="15.75" hidden="1" customHeight="1" x14ac:dyDescent="0.25">
      <c r="A515" s="24" t="s">
        <v>511</v>
      </c>
      <c r="B515" s="25" t="s">
        <v>880</v>
      </c>
      <c r="C515" s="25" t="s">
        <v>880</v>
      </c>
      <c r="D515" s="25">
        <v>512985</v>
      </c>
      <c r="E515" s="24" t="s">
        <v>491</v>
      </c>
      <c r="F515" s="24">
        <v>9699193721</v>
      </c>
      <c r="G515" s="24" t="s">
        <v>881</v>
      </c>
    </row>
    <row r="516" spans="1:7" ht="15.75" hidden="1" customHeight="1" x14ac:dyDescent="0.25">
      <c r="A516" s="24" t="s">
        <v>542</v>
      </c>
      <c r="B516" s="25" t="s">
        <v>882</v>
      </c>
      <c r="C516" s="24" t="s">
        <v>882</v>
      </c>
      <c r="D516" s="25">
        <v>512884</v>
      </c>
      <c r="E516" s="24" t="s">
        <v>552</v>
      </c>
      <c r="F516" s="24">
        <v>9699193721</v>
      </c>
      <c r="G516" s="24" t="s">
        <v>883</v>
      </c>
    </row>
    <row r="517" spans="1:7" ht="15.75" hidden="1" customHeight="1" x14ac:dyDescent="0.25">
      <c r="A517" s="24" t="s">
        <v>718</v>
      </c>
      <c r="B517" s="25" t="s">
        <v>884</v>
      </c>
      <c r="C517" s="24" t="s">
        <v>884</v>
      </c>
      <c r="D517" s="25">
        <v>612105</v>
      </c>
      <c r="E517" s="24" t="s">
        <v>491</v>
      </c>
      <c r="F517" s="24">
        <v>9699193721</v>
      </c>
      <c r="G517" s="24" t="s">
        <v>885</v>
      </c>
    </row>
    <row r="518" spans="1:7" ht="15.75" hidden="1" customHeight="1" x14ac:dyDescent="0.25">
      <c r="A518" s="24" t="s">
        <v>718</v>
      </c>
      <c r="B518" s="25" t="s">
        <v>882</v>
      </c>
      <c r="C518" s="24" t="s">
        <v>882</v>
      </c>
      <c r="D518" s="25">
        <v>512884</v>
      </c>
      <c r="E518" s="24" t="s">
        <v>491</v>
      </c>
      <c r="F518" s="24">
        <v>9699193721</v>
      </c>
      <c r="G518" s="24" t="s">
        <v>886</v>
      </c>
    </row>
    <row r="519" spans="1:7" ht="15.75" hidden="1" customHeight="1" x14ac:dyDescent="0.25">
      <c r="A519" s="24" t="s">
        <v>887</v>
      </c>
      <c r="B519" s="25" t="s">
        <v>888</v>
      </c>
      <c r="C519" s="25" t="s">
        <v>889</v>
      </c>
      <c r="D519" s="25">
        <v>512911</v>
      </c>
      <c r="E519" s="25" t="s">
        <v>890</v>
      </c>
      <c r="F519" s="25">
        <v>9600101642</v>
      </c>
      <c r="G519" s="24" t="s">
        <v>891</v>
      </c>
    </row>
    <row r="520" spans="1:7" ht="15.75" hidden="1" customHeight="1" x14ac:dyDescent="0.25">
      <c r="A520" s="24" t="s">
        <v>887</v>
      </c>
      <c r="B520" s="25" t="s">
        <v>892</v>
      </c>
      <c r="C520" s="25" t="s">
        <v>893</v>
      </c>
      <c r="D520" s="25">
        <v>512985</v>
      </c>
      <c r="E520" s="25" t="s">
        <v>890</v>
      </c>
      <c r="F520" s="25">
        <v>9600101642</v>
      </c>
      <c r="G520" s="24" t="s">
        <v>894</v>
      </c>
    </row>
    <row r="521" spans="1:7" ht="15.75" hidden="1" customHeight="1" x14ac:dyDescent="0.25">
      <c r="A521" s="25" t="s">
        <v>895</v>
      </c>
      <c r="B521" s="25" t="s">
        <v>896</v>
      </c>
      <c r="C521" s="24" t="s">
        <v>896</v>
      </c>
      <c r="D521" s="25">
        <v>612105</v>
      </c>
      <c r="E521" s="25" t="s">
        <v>897</v>
      </c>
      <c r="F521" s="25">
        <v>9600101481</v>
      </c>
      <c r="G521" s="24" t="s">
        <v>898</v>
      </c>
    </row>
    <row r="522" spans="1:7" ht="15.75" hidden="1" customHeight="1" x14ac:dyDescent="0.25">
      <c r="A522" s="24" t="s">
        <v>895</v>
      </c>
      <c r="B522" s="25" t="s">
        <v>899</v>
      </c>
      <c r="C522" s="24" t="s">
        <v>899</v>
      </c>
      <c r="D522" s="25">
        <v>512903</v>
      </c>
      <c r="E522" s="25" t="s">
        <v>897</v>
      </c>
      <c r="F522" s="25">
        <v>9600101481</v>
      </c>
      <c r="G522" s="24" t="s">
        <v>900</v>
      </c>
    </row>
    <row r="523" spans="1:7" ht="15.75" hidden="1" customHeight="1" x14ac:dyDescent="0.25">
      <c r="A523" s="24" t="s">
        <v>895</v>
      </c>
      <c r="B523" s="25" t="s">
        <v>901</v>
      </c>
      <c r="C523" s="24" t="s">
        <v>901</v>
      </c>
      <c r="D523" s="25">
        <v>512909</v>
      </c>
      <c r="E523" s="25" t="s">
        <v>897</v>
      </c>
      <c r="F523" s="25">
        <v>9600101481</v>
      </c>
      <c r="G523" s="24" t="s">
        <v>902</v>
      </c>
    </row>
    <row r="524" spans="1:7" ht="15.75" hidden="1" customHeight="1" x14ac:dyDescent="0.25">
      <c r="A524" s="24" t="s">
        <v>895</v>
      </c>
      <c r="B524" s="25" t="s">
        <v>903</v>
      </c>
      <c r="C524" s="24" t="s">
        <v>903</v>
      </c>
      <c r="D524" s="25">
        <v>512908</v>
      </c>
      <c r="E524" s="25" t="s">
        <v>897</v>
      </c>
      <c r="F524" s="25">
        <v>9600101481</v>
      </c>
      <c r="G524" s="24" t="s">
        <v>904</v>
      </c>
    </row>
    <row r="525" spans="1:7" ht="15.75" hidden="1" customHeight="1" x14ac:dyDescent="0.25">
      <c r="A525" s="24" t="s">
        <v>895</v>
      </c>
      <c r="B525" s="25" t="s">
        <v>893</v>
      </c>
      <c r="C525" s="24" t="s">
        <v>893</v>
      </c>
      <c r="D525" s="25">
        <v>512985</v>
      </c>
      <c r="E525" s="25" t="s">
        <v>897</v>
      </c>
      <c r="F525" s="25">
        <v>9600101481</v>
      </c>
      <c r="G525" s="24" t="s">
        <v>905</v>
      </c>
    </row>
    <row r="526" spans="1:7" ht="15.75" hidden="1" customHeight="1" x14ac:dyDescent="0.25">
      <c r="A526" s="24" t="s">
        <v>895</v>
      </c>
      <c r="B526" s="25" t="s">
        <v>906</v>
      </c>
      <c r="C526" s="24" t="s">
        <v>906</v>
      </c>
      <c r="D526" s="25">
        <v>512901</v>
      </c>
      <c r="E526" s="25" t="s">
        <v>897</v>
      </c>
      <c r="F526" s="25">
        <v>9600101481</v>
      </c>
      <c r="G526" s="24" t="s">
        <v>907</v>
      </c>
    </row>
    <row r="527" spans="1:7" ht="15.75" hidden="1" customHeight="1" x14ac:dyDescent="0.25">
      <c r="A527" s="24" t="s">
        <v>895</v>
      </c>
      <c r="B527" s="25" t="s">
        <v>908</v>
      </c>
      <c r="C527" s="24" t="s">
        <v>908</v>
      </c>
      <c r="D527" s="25">
        <v>611129</v>
      </c>
      <c r="E527" s="25" t="s">
        <v>897</v>
      </c>
      <c r="F527" s="25">
        <v>9600101481</v>
      </c>
      <c r="G527" s="24" t="s">
        <v>909</v>
      </c>
    </row>
    <row r="528" spans="1:7" ht="15.75" hidden="1" customHeight="1" x14ac:dyDescent="0.25">
      <c r="A528" s="24" t="s">
        <v>895</v>
      </c>
      <c r="B528" s="25" t="s">
        <v>910</v>
      </c>
      <c r="C528" s="24" t="s">
        <v>910</v>
      </c>
      <c r="D528" s="25">
        <v>512885</v>
      </c>
      <c r="E528" s="25" t="s">
        <v>897</v>
      </c>
      <c r="F528" s="25">
        <v>9600101481</v>
      </c>
      <c r="G528" s="24" t="s">
        <v>911</v>
      </c>
    </row>
    <row r="529" spans="1:26" ht="15.75" hidden="1" customHeight="1" x14ac:dyDescent="0.25">
      <c r="A529" s="24" t="s">
        <v>895</v>
      </c>
      <c r="B529" s="25" t="s">
        <v>912</v>
      </c>
      <c r="C529" s="24" t="s">
        <v>912</v>
      </c>
      <c r="D529" s="25">
        <v>512883</v>
      </c>
      <c r="E529" s="25" t="s">
        <v>897</v>
      </c>
      <c r="F529" s="25">
        <v>9600101481</v>
      </c>
      <c r="G529" s="24" t="s">
        <v>913</v>
      </c>
    </row>
    <row r="530" spans="1:26" ht="15.75" hidden="1" customHeight="1" x14ac:dyDescent="0.25">
      <c r="A530" s="24" t="s">
        <v>598</v>
      </c>
      <c r="B530" s="25" t="s">
        <v>914</v>
      </c>
      <c r="C530" s="24" t="s">
        <v>914</v>
      </c>
      <c r="D530" s="25">
        <v>512885</v>
      </c>
      <c r="E530" s="24" t="s">
        <v>603</v>
      </c>
      <c r="F530" s="24">
        <v>9600017004</v>
      </c>
      <c r="G530" s="24" t="s">
        <v>915</v>
      </c>
    </row>
    <row r="531" spans="1:26" ht="15.75" hidden="1" customHeight="1" x14ac:dyDescent="0.25">
      <c r="A531" s="24" t="s">
        <v>554</v>
      </c>
      <c r="B531" s="25" t="s">
        <v>916</v>
      </c>
      <c r="C531" s="24" t="s">
        <v>916</v>
      </c>
      <c r="D531" s="25">
        <v>612105</v>
      </c>
      <c r="E531" s="24" t="s">
        <v>572</v>
      </c>
      <c r="F531" s="24">
        <v>9600101858</v>
      </c>
      <c r="G531" s="24" t="s">
        <v>917</v>
      </c>
    </row>
    <row r="532" spans="1:26" ht="15.75" hidden="1" customHeight="1" x14ac:dyDescent="0.25">
      <c r="A532" s="24" t="s">
        <v>554</v>
      </c>
      <c r="B532" s="25" t="s">
        <v>918</v>
      </c>
      <c r="C532" s="24" t="s">
        <v>918</v>
      </c>
      <c r="D532" s="24">
        <v>512885</v>
      </c>
      <c r="E532" s="24" t="s">
        <v>572</v>
      </c>
      <c r="F532" s="24">
        <v>9600101858</v>
      </c>
      <c r="G532" s="24" t="s">
        <v>919</v>
      </c>
    </row>
    <row r="533" spans="1:26" ht="15.75" hidden="1" customHeight="1" x14ac:dyDescent="0.25">
      <c r="A533" s="24" t="s">
        <v>458</v>
      </c>
      <c r="B533" s="24" t="s">
        <v>872</v>
      </c>
      <c r="C533" s="24" t="s">
        <v>872</v>
      </c>
      <c r="D533" s="24">
        <v>512917</v>
      </c>
      <c r="E533" s="24" t="s">
        <v>461</v>
      </c>
      <c r="F533" s="24">
        <v>9699193721</v>
      </c>
      <c r="G533" s="24" t="s">
        <v>920</v>
      </c>
    </row>
    <row r="534" spans="1:26" ht="15.75" hidden="1" customHeight="1" x14ac:dyDescent="0.25">
      <c r="A534" s="24" t="s">
        <v>490</v>
      </c>
      <c r="B534" s="24" t="s">
        <v>874</v>
      </c>
      <c r="C534" s="24" t="s">
        <v>874</v>
      </c>
      <c r="D534" s="24">
        <v>512885</v>
      </c>
      <c r="E534" s="24" t="s">
        <v>491</v>
      </c>
      <c r="F534" s="24">
        <v>9699193721</v>
      </c>
      <c r="G534" s="24" t="s">
        <v>921</v>
      </c>
    </row>
    <row r="535" spans="1:26" ht="15.75" hidden="1" customHeight="1" x14ac:dyDescent="0.25">
      <c r="A535" s="24" t="s">
        <v>458</v>
      </c>
      <c r="B535" s="24" t="s">
        <v>922</v>
      </c>
      <c r="C535" s="24" t="s">
        <v>923</v>
      </c>
      <c r="D535" s="25">
        <v>612105</v>
      </c>
      <c r="E535" s="24" t="s">
        <v>461</v>
      </c>
      <c r="F535" s="24">
        <v>9699193721</v>
      </c>
      <c r="G535" s="24" t="s">
        <v>924</v>
      </c>
    </row>
    <row r="536" spans="1:26" ht="15.75" hidden="1" customHeight="1" x14ac:dyDescent="0.25">
      <c r="A536" s="24" t="s">
        <v>925</v>
      </c>
      <c r="B536" s="24" t="s">
        <v>469</v>
      </c>
      <c r="C536" s="24" t="s">
        <v>470</v>
      </c>
      <c r="D536" s="24">
        <v>512901</v>
      </c>
      <c r="E536" s="29" t="s">
        <v>522</v>
      </c>
      <c r="F536" s="24">
        <v>9699193721</v>
      </c>
      <c r="G536" s="24" t="s">
        <v>926</v>
      </c>
      <c r="H536" s="4"/>
      <c r="I536" s="4"/>
      <c r="J536" s="4"/>
      <c r="K536" s="4"/>
      <c r="L536" s="4"/>
      <c r="M536" s="4"/>
      <c r="N536" s="4"/>
      <c r="O536" s="4"/>
      <c r="P536" s="4"/>
      <c r="Q536" s="4"/>
      <c r="R536" s="4"/>
      <c r="S536" s="4"/>
      <c r="T536" s="4"/>
      <c r="U536" s="4"/>
      <c r="V536" s="4"/>
      <c r="W536" s="4"/>
      <c r="X536" s="4"/>
      <c r="Y536" s="4"/>
      <c r="Z536" s="4"/>
    </row>
    <row r="537" spans="1:26" ht="15.75" hidden="1" customHeight="1" x14ac:dyDescent="0.25">
      <c r="A537" s="24" t="s">
        <v>925</v>
      </c>
      <c r="B537" s="24" t="s">
        <v>459</v>
      </c>
      <c r="C537" s="24" t="s">
        <v>460</v>
      </c>
      <c r="D537" s="24">
        <v>512903</v>
      </c>
      <c r="E537" s="29" t="s">
        <v>522</v>
      </c>
      <c r="F537" s="24">
        <v>9699193721</v>
      </c>
      <c r="G537" s="24" t="s">
        <v>927</v>
      </c>
      <c r="H537" s="4"/>
      <c r="I537" s="4"/>
      <c r="J537" s="4"/>
      <c r="K537" s="4"/>
      <c r="L537" s="4"/>
      <c r="M537" s="4"/>
      <c r="N537" s="4"/>
      <c r="O537" s="4"/>
      <c r="P537" s="4"/>
      <c r="Q537" s="4"/>
      <c r="R537" s="4"/>
      <c r="S537" s="4"/>
      <c r="T537" s="4"/>
      <c r="U537" s="4"/>
      <c r="V537" s="4"/>
      <c r="W537" s="4"/>
      <c r="X537" s="4"/>
      <c r="Y537" s="4"/>
      <c r="Z537" s="4"/>
    </row>
    <row r="538" spans="1:26" ht="15.75" hidden="1" customHeight="1" x14ac:dyDescent="0.25">
      <c r="A538" s="24" t="s">
        <v>925</v>
      </c>
      <c r="B538" s="24" t="s">
        <v>463</v>
      </c>
      <c r="C538" s="24" t="s">
        <v>464</v>
      </c>
      <c r="D538" s="24">
        <v>512903</v>
      </c>
      <c r="E538" s="29" t="s">
        <v>522</v>
      </c>
      <c r="F538" s="24">
        <v>9699193721</v>
      </c>
      <c r="G538" s="24" t="s">
        <v>928</v>
      </c>
      <c r="H538" s="4"/>
      <c r="I538" s="4"/>
      <c r="J538" s="4"/>
      <c r="K538" s="4"/>
      <c r="L538" s="4"/>
      <c r="M538" s="4"/>
      <c r="N538" s="4"/>
      <c r="O538" s="4"/>
      <c r="P538" s="4"/>
      <c r="Q538" s="4"/>
      <c r="R538" s="4"/>
      <c r="S538" s="4"/>
      <c r="T538" s="4"/>
      <c r="U538" s="4"/>
      <c r="V538" s="4"/>
      <c r="W538" s="4"/>
      <c r="X538" s="4"/>
      <c r="Y538" s="4"/>
      <c r="Z538" s="4"/>
    </row>
    <row r="539" spans="1:26" ht="15.75" hidden="1" customHeight="1" x14ac:dyDescent="0.25">
      <c r="A539" s="24" t="s">
        <v>925</v>
      </c>
      <c r="B539" s="24" t="s">
        <v>466</v>
      </c>
      <c r="C539" s="24" t="s">
        <v>467</v>
      </c>
      <c r="D539" s="24">
        <v>512903</v>
      </c>
      <c r="E539" s="29" t="s">
        <v>522</v>
      </c>
      <c r="F539" s="24">
        <v>9699193721</v>
      </c>
      <c r="G539" s="24" t="s">
        <v>929</v>
      </c>
      <c r="H539" s="4"/>
      <c r="I539" s="4"/>
      <c r="J539" s="4"/>
      <c r="K539" s="4"/>
      <c r="L539" s="4"/>
      <c r="M539" s="4"/>
      <c r="N539" s="4"/>
      <c r="O539" s="4"/>
      <c r="P539" s="4"/>
      <c r="Q539" s="4"/>
      <c r="R539" s="4"/>
      <c r="S539" s="4"/>
      <c r="T539" s="4"/>
      <c r="U539" s="4"/>
      <c r="V539" s="4"/>
      <c r="W539" s="4"/>
      <c r="X539" s="4"/>
      <c r="Y539" s="4"/>
      <c r="Z539" s="4"/>
    </row>
    <row r="540" spans="1:26" ht="15.75" hidden="1" customHeight="1" x14ac:dyDescent="0.25">
      <c r="A540" s="24" t="s">
        <v>925</v>
      </c>
      <c r="B540" s="24" t="s">
        <v>480</v>
      </c>
      <c r="C540" s="24" t="s">
        <v>481</v>
      </c>
      <c r="D540" s="24">
        <v>512916</v>
      </c>
      <c r="E540" s="29" t="s">
        <v>522</v>
      </c>
      <c r="F540" s="24">
        <v>9699193721</v>
      </c>
      <c r="G540" s="24" t="s">
        <v>930</v>
      </c>
      <c r="H540" s="4"/>
      <c r="I540" s="4"/>
      <c r="J540" s="4"/>
      <c r="K540" s="4"/>
      <c r="L540" s="4"/>
      <c r="M540" s="4"/>
      <c r="N540" s="4"/>
      <c r="O540" s="4"/>
      <c r="P540" s="4"/>
      <c r="Q540" s="4"/>
      <c r="R540" s="4"/>
      <c r="S540" s="4"/>
      <c r="T540" s="4"/>
      <c r="U540" s="4"/>
      <c r="V540" s="4"/>
      <c r="W540" s="4"/>
      <c r="X540" s="4"/>
      <c r="Y540" s="4"/>
      <c r="Z540" s="4"/>
    </row>
    <row r="541" spans="1:26" ht="15.75" hidden="1" customHeight="1" x14ac:dyDescent="0.25">
      <c r="A541" s="24" t="s">
        <v>925</v>
      </c>
      <c r="B541" s="24" t="s">
        <v>483</v>
      </c>
      <c r="C541" s="24" t="s">
        <v>484</v>
      </c>
      <c r="D541" s="24">
        <v>512915</v>
      </c>
      <c r="E541" s="29" t="s">
        <v>522</v>
      </c>
      <c r="F541" s="24">
        <v>9699193721</v>
      </c>
      <c r="G541" s="24" t="s">
        <v>931</v>
      </c>
      <c r="H541" s="4"/>
      <c r="I541" s="4"/>
      <c r="J541" s="4"/>
      <c r="K541" s="4"/>
      <c r="L541" s="4"/>
      <c r="M541" s="4"/>
      <c r="N541" s="4"/>
      <c r="O541" s="4"/>
      <c r="P541" s="4"/>
      <c r="Q541" s="4"/>
      <c r="R541" s="4"/>
      <c r="S541" s="4"/>
      <c r="T541" s="4"/>
      <c r="U541" s="4"/>
      <c r="V541" s="4"/>
      <c r="W541" s="4"/>
      <c r="X541" s="4"/>
      <c r="Y541" s="4"/>
      <c r="Z541" s="4"/>
    </row>
    <row r="542" spans="1:26" ht="15.75" hidden="1" customHeight="1" x14ac:dyDescent="0.25">
      <c r="A542" s="24" t="s">
        <v>925</v>
      </c>
      <c r="B542" s="24" t="s">
        <v>486</v>
      </c>
      <c r="C542" s="24" t="s">
        <v>484</v>
      </c>
      <c r="D542" s="24">
        <v>512915</v>
      </c>
      <c r="E542" s="29" t="s">
        <v>522</v>
      </c>
      <c r="F542" s="24">
        <v>9699193721</v>
      </c>
      <c r="G542" s="24" t="s">
        <v>931</v>
      </c>
      <c r="H542" s="4"/>
      <c r="I542" s="4"/>
      <c r="J542" s="4"/>
      <c r="K542" s="4"/>
      <c r="L542" s="4"/>
      <c r="M542" s="4"/>
      <c r="N542" s="4"/>
      <c r="O542" s="4"/>
      <c r="P542" s="4"/>
      <c r="Q542" s="4"/>
      <c r="R542" s="4"/>
      <c r="S542" s="4"/>
      <c r="T542" s="4"/>
      <c r="U542" s="4"/>
      <c r="V542" s="4"/>
      <c r="W542" s="4"/>
      <c r="X542" s="4"/>
      <c r="Y542" s="4"/>
      <c r="Z542" s="4"/>
    </row>
    <row r="543" spans="1:26" ht="15.75" hidden="1" customHeight="1" x14ac:dyDescent="0.25">
      <c r="A543" s="24" t="s">
        <v>925</v>
      </c>
      <c r="B543" s="24" t="s">
        <v>487</v>
      </c>
      <c r="C543" s="24" t="s">
        <v>488</v>
      </c>
      <c r="D543" s="24">
        <v>512907</v>
      </c>
      <c r="E543" s="29" t="s">
        <v>522</v>
      </c>
      <c r="F543" s="24">
        <v>9699193721</v>
      </c>
      <c r="G543" s="24" t="s">
        <v>932</v>
      </c>
      <c r="H543" s="4"/>
      <c r="I543" s="4"/>
      <c r="J543" s="4"/>
      <c r="K543" s="4"/>
      <c r="L543" s="4"/>
      <c r="M543" s="4"/>
      <c r="N543" s="4"/>
      <c r="O543" s="4"/>
      <c r="P543" s="4"/>
      <c r="Q543" s="4"/>
      <c r="R543" s="4"/>
      <c r="S543" s="4"/>
      <c r="T543" s="4"/>
      <c r="U543" s="4"/>
      <c r="V543" s="4"/>
      <c r="W543" s="4"/>
      <c r="X543" s="4"/>
      <c r="Y543" s="4"/>
      <c r="Z543" s="4"/>
    </row>
    <row r="544" spans="1:26" ht="15.75" hidden="1" customHeight="1" x14ac:dyDescent="0.25">
      <c r="A544" s="24" t="s">
        <v>925</v>
      </c>
      <c r="B544" s="24" t="s">
        <v>472</v>
      </c>
      <c r="C544" s="24" t="s">
        <v>473</v>
      </c>
      <c r="D544" s="24">
        <v>512985</v>
      </c>
      <c r="E544" s="29" t="s">
        <v>522</v>
      </c>
      <c r="F544" s="24">
        <v>9699193721</v>
      </c>
      <c r="G544" s="24" t="s">
        <v>933</v>
      </c>
      <c r="H544" s="4"/>
      <c r="I544" s="4"/>
      <c r="J544" s="4"/>
      <c r="K544" s="4"/>
      <c r="L544" s="4"/>
      <c r="M544" s="4"/>
      <c r="N544" s="4"/>
      <c r="O544" s="4"/>
      <c r="P544" s="4"/>
      <c r="Q544" s="4"/>
      <c r="R544" s="4"/>
      <c r="S544" s="4"/>
      <c r="T544" s="4"/>
      <c r="U544" s="4"/>
      <c r="V544" s="4"/>
      <c r="W544" s="4"/>
      <c r="X544" s="4"/>
      <c r="Y544" s="4"/>
      <c r="Z544" s="4"/>
    </row>
    <row r="545" spans="1:26" ht="15.75" hidden="1" customHeight="1" x14ac:dyDescent="0.25">
      <c r="A545" s="24" t="s">
        <v>925</v>
      </c>
      <c r="B545" s="24" t="s">
        <v>477</v>
      </c>
      <c r="C545" s="24" t="s">
        <v>478</v>
      </c>
      <c r="D545" s="24">
        <v>512901</v>
      </c>
      <c r="E545" s="29" t="s">
        <v>522</v>
      </c>
      <c r="F545" s="24">
        <v>9699193721</v>
      </c>
      <c r="G545" s="24" t="s">
        <v>934</v>
      </c>
      <c r="H545" s="4"/>
      <c r="I545" s="4"/>
      <c r="J545" s="4"/>
      <c r="K545" s="4"/>
      <c r="L545" s="4"/>
      <c r="M545" s="4"/>
      <c r="N545" s="4"/>
      <c r="O545" s="4"/>
      <c r="P545" s="4"/>
      <c r="Q545" s="4"/>
      <c r="R545" s="4"/>
      <c r="S545" s="4"/>
      <c r="T545" s="4"/>
      <c r="U545" s="4"/>
      <c r="V545" s="4"/>
      <c r="W545" s="4"/>
      <c r="X545" s="4"/>
      <c r="Y545" s="4"/>
      <c r="Z545" s="4"/>
    </row>
    <row r="546" spans="1:26" ht="15.75" hidden="1" customHeight="1" x14ac:dyDescent="0.25">
      <c r="A546" s="24" t="s">
        <v>925</v>
      </c>
      <c r="B546" s="24" t="s">
        <v>876</v>
      </c>
      <c r="C546" s="24" t="s">
        <v>876</v>
      </c>
      <c r="D546" s="24">
        <v>612105</v>
      </c>
      <c r="E546" s="29" t="s">
        <v>522</v>
      </c>
      <c r="F546" s="24">
        <v>9699193721</v>
      </c>
      <c r="G546" s="24" t="s">
        <v>935</v>
      </c>
      <c r="H546" s="4"/>
      <c r="I546" s="4"/>
      <c r="J546" s="4"/>
      <c r="K546" s="4"/>
      <c r="L546" s="4"/>
      <c r="M546" s="4"/>
      <c r="N546" s="4"/>
      <c r="O546" s="4"/>
      <c r="P546" s="4"/>
      <c r="Q546" s="4"/>
      <c r="R546" s="4"/>
      <c r="S546" s="4"/>
      <c r="T546" s="4"/>
      <c r="U546" s="4"/>
      <c r="V546" s="4"/>
      <c r="W546" s="4"/>
      <c r="X546" s="4"/>
      <c r="Y546" s="4"/>
      <c r="Z546" s="4"/>
    </row>
    <row r="547" spans="1:26" ht="15.75" hidden="1" customHeight="1" x14ac:dyDescent="0.25">
      <c r="A547" s="24" t="s">
        <v>925</v>
      </c>
      <c r="B547" s="24" t="s">
        <v>878</v>
      </c>
      <c r="C547" s="24" t="s">
        <v>878</v>
      </c>
      <c r="D547" s="24">
        <v>612105</v>
      </c>
      <c r="E547" s="29" t="s">
        <v>522</v>
      </c>
      <c r="F547" s="24">
        <v>9699193721</v>
      </c>
      <c r="G547" s="24" t="s">
        <v>936</v>
      </c>
      <c r="H547" s="4"/>
      <c r="I547" s="4"/>
      <c r="J547" s="4"/>
      <c r="K547" s="4"/>
      <c r="L547" s="4"/>
      <c r="M547" s="4"/>
      <c r="N547" s="4"/>
      <c r="O547" s="4"/>
      <c r="P547" s="4"/>
      <c r="Q547" s="4"/>
      <c r="R547" s="4"/>
      <c r="S547" s="4"/>
      <c r="T547" s="4"/>
      <c r="U547" s="4"/>
      <c r="V547" s="4"/>
      <c r="W547" s="4"/>
      <c r="X547" s="4"/>
      <c r="Y547" s="4"/>
      <c r="Z547" s="4"/>
    </row>
    <row r="548" spans="1:26" ht="15.75" hidden="1" customHeight="1" x14ac:dyDescent="0.25">
      <c r="A548" s="24" t="s">
        <v>925</v>
      </c>
      <c r="B548" s="24" t="s">
        <v>880</v>
      </c>
      <c r="C548" s="24" t="s">
        <v>880</v>
      </c>
      <c r="D548" s="24">
        <v>512985</v>
      </c>
      <c r="E548" s="30" t="s">
        <v>522</v>
      </c>
      <c r="F548" s="24">
        <v>9699193721</v>
      </c>
      <c r="G548" s="24" t="s">
        <v>937</v>
      </c>
      <c r="H548" s="4"/>
      <c r="I548" s="4"/>
      <c r="J548" s="4"/>
      <c r="K548" s="4"/>
      <c r="L548" s="4"/>
      <c r="M548" s="4"/>
      <c r="N548" s="4"/>
      <c r="O548" s="4"/>
      <c r="P548" s="4"/>
      <c r="Q548" s="4"/>
      <c r="R548" s="4"/>
      <c r="S548" s="4"/>
      <c r="T548" s="4"/>
      <c r="U548" s="4"/>
      <c r="V548" s="4"/>
      <c r="W548" s="4"/>
      <c r="X548" s="4"/>
      <c r="Y548" s="4"/>
      <c r="Z548" s="4"/>
    </row>
    <row r="549" spans="1:26" ht="15.75" hidden="1" customHeight="1" x14ac:dyDescent="0.25">
      <c r="A549" s="24" t="s">
        <v>925</v>
      </c>
      <c r="B549" s="24" t="s">
        <v>884</v>
      </c>
      <c r="C549" s="24" t="s">
        <v>884</v>
      </c>
      <c r="D549" s="24">
        <v>612105</v>
      </c>
      <c r="E549" s="24" t="s">
        <v>491</v>
      </c>
      <c r="F549" s="24">
        <v>9699193721</v>
      </c>
      <c r="G549" s="24" t="s">
        <v>938</v>
      </c>
      <c r="H549" s="4"/>
      <c r="I549" s="4"/>
      <c r="J549" s="4"/>
      <c r="K549" s="4"/>
      <c r="L549" s="4"/>
      <c r="M549" s="4"/>
      <c r="N549" s="4"/>
      <c r="O549" s="4"/>
      <c r="P549" s="4"/>
      <c r="Q549" s="4"/>
      <c r="R549" s="4"/>
      <c r="S549" s="4"/>
      <c r="T549" s="4"/>
      <c r="U549" s="4"/>
      <c r="V549" s="4"/>
      <c r="W549" s="4"/>
      <c r="X549" s="4"/>
      <c r="Y549" s="4"/>
      <c r="Z549" s="4"/>
    </row>
    <row r="550" spans="1:26" ht="15.75" customHeight="1" x14ac:dyDescent="0.25">
      <c r="A550" s="24" t="s">
        <v>532</v>
      </c>
      <c r="B550" s="24" t="s">
        <v>884</v>
      </c>
      <c r="C550" s="24" t="s">
        <v>884</v>
      </c>
      <c r="D550" s="24">
        <v>612105</v>
      </c>
      <c r="E550" s="24" t="s">
        <v>522</v>
      </c>
      <c r="F550" s="24">
        <v>9699193721</v>
      </c>
      <c r="G550" s="24" t="s">
        <v>939</v>
      </c>
      <c r="H550" s="4"/>
      <c r="I550" s="4"/>
      <c r="J550" s="4"/>
      <c r="K550" s="4"/>
      <c r="L550" s="4"/>
      <c r="M550" s="4"/>
      <c r="N550" s="4"/>
      <c r="O550" s="4"/>
      <c r="P550" s="4"/>
      <c r="Q550" s="4"/>
      <c r="R550" s="4"/>
      <c r="S550" s="4"/>
      <c r="T550" s="4"/>
      <c r="U550" s="4"/>
      <c r="V550" s="4"/>
      <c r="W550" s="4"/>
      <c r="X550" s="4"/>
      <c r="Y550" s="4"/>
      <c r="Z550" s="4"/>
    </row>
    <row r="551" spans="1:26" ht="15.75" hidden="1" customHeight="1" x14ac:dyDescent="0.25">
      <c r="A551" s="24" t="s">
        <v>925</v>
      </c>
      <c r="B551" s="24" t="s">
        <v>872</v>
      </c>
      <c r="C551" s="24" t="s">
        <v>872</v>
      </c>
      <c r="D551" s="24">
        <v>512917</v>
      </c>
      <c r="E551" s="24" t="s">
        <v>522</v>
      </c>
      <c r="F551" s="24">
        <v>9699193721</v>
      </c>
      <c r="G551" s="24" t="s">
        <v>940</v>
      </c>
    </row>
    <row r="552" spans="1:26" ht="15.75" customHeight="1" x14ac:dyDescent="0.25">
      <c r="A552" s="24" t="s">
        <v>532</v>
      </c>
      <c r="B552" s="25" t="s">
        <v>941</v>
      </c>
      <c r="C552" s="25" t="s">
        <v>942</v>
      </c>
      <c r="D552" s="25">
        <v>512884</v>
      </c>
      <c r="E552" s="24" t="s">
        <v>522</v>
      </c>
      <c r="F552" s="24">
        <v>9699193721</v>
      </c>
      <c r="G552" s="24" t="s">
        <v>943</v>
      </c>
    </row>
    <row r="553" spans="1:26" ht="15.75" hidden="1" customHeight="1" x14ac:dyDescent="0.25">
      <c r="A553" s="26" t="s">
        <v>389</v>
      </c>
      <c r="B553" s="25" t="s">
        <v>944</v>
      </c>
      <c r="C553" s="24" t="s">
        <v>453</v>
      </c>
      <c r="D553" s="24">
        <v>512916</v>
      </c>
      <c r="E553" s="24" t="s">
        <v>373</v>
      </c>
      <c r="F553" s="24">
        <v>9699193686</v>
      </c>
      <c r="G553" s="24" t="s">
        <v>945</v>
      </c>
    </row>
    <row r="554" spans="1:26" ht="15.75" hidden="1" customHeight="1" x14ac:dyDescent="0.25">
      <c r="A554" s="26" t="s">
        <v>372</v>
      </c>
      <c r="B554" s="25" t="s">
        <v>946</v>
      </c>
      <c r="C554" s="24" t="s">
        <v>453</v>
      </c>
      <c r="D554" s="24">
        <v>512916</v>
      </c>
      <c r="E554" s="24" t="s">
        <v>373</v>
      </c>
      <c r="F554" s="24">
        <v>9699193686</v>
      </c>
      <c r="G554" s="24" t="s">
        <v>947</v>
      </c>
    </row>
    <row r="555" spans="1:26" ht="15.75" hidden="1" customHeight="1" x14ac:dyDescent="0.25">
      <c r="A555" s="25" t="s">
        <v>372</v>
      </c>
      <c r="B555" s="25" t="s">
        <v>822</v>
      </c>
      <c r="C555" s="25" t="s">
        <v>823</v>
      </c>
      <c r="D555" s="24">
        <v>612105</v>
      </c>
      <c r="E555" s="24" t="s">
        <v>373</v>
      </c>
      <c r="F555" s="24">
        <v>9699193686</v>
      </c>
      <c r="G555" s="24" t="s">
        <v>948</v>
      </c>
    </row>
    <row r="556" spans="1:26" ht="15.75" hidden="1" customHeight="1" x14ac:dyDescent="0.25">
      <c r="A556" s="24" t="s">
        <v>372</v>
      </c>
      <c r="B556" s="25" t="s">
        <v>949</v>
      </c>
      <c r="C556" s="24" t="s">
        <v>823</v>
      </c>
      <c r="D556" s="24">
        <v>612105</v>
      </c>
      <c r="E556" s="24" t="s">
        <v>373</v>
      </c>
      <c r="F556" s="24">
        <v>9699193686</v>
      </c>
      <c r="G556" s="24" t="s">
        <v>948</v>
      </c>
    </row>
    <row r="557" spans="1:26" ht="15.75" hidden="1" customHeight="1" x14ac:dyDescent="0.25">
      <c r="A557" s="24" t="s">
        <v>389</v>
      </c>
      <c r="B557" s="24" t="s">
        <v>822</v>
      </c>
      <c r="C557" s="24" t="s">
        <v>823</v>
      </c>
      <c r="D557" s="24">
        <v>612105</v>
      </c>
      <c r="E557" s="24" t="s">
        <v>373</v>
      </c>
      <c r="F557" s="24">
        <v>9699193686</v>
      </c>
      <c r="G557" s="24" t="s">
        <v>950</v>
      </c>
    </row>
    <row r="558" spans="1:26" ht="15.75" hidden="1" customHeight="1" x14ac:dyDescent="0.25">
      <c r="A558" s="24" t="s">
        <v>389</v>
      </c>
      <c r="B558" s="24" t="s">
        <v>949</v>
      </c>
      <c r="C558" s="24" t="s">
        <v>823</v>
      </c>
      <c r="D558" s="24">
        <v>612105</v>
      </c>
      <c r="E558" s="24" t="s">
        <v>373</v>
      </c>
      <c r="F558" s="24">
        <v>9699193686</v>
      </c>
      <c r="G558" s="24" t="s">
        <v>950</v>
      </c>
    </row>
    <row r="559" spans="1:26" ht="15.75" hidden="1" customHeight="1" x14ac:dyDescent="0.25">
      <c r="A559" s="24" t="s">
        <v>438</v>
      </c>
      <c r="B559" s="24" t="s">
        <v>455</v>
      </c>
      <c r="C559" s="24" t="s">
        <v>453</v>
      </c>
      <c r="D559" s="24">
        <v>512916</v>
      </c>
      <c r="E559" s="24" t="s">
        <v>373</v>
      </c>
      <c r="F559" s="24">
        <v>9699193686</v>
      </c>
      <c r="G559" s="24" t="s">
        <v>951</v>
      </c>
    </row>
    <row r="560" spans="1:26" ht="15.75" hidden="1" customHeight="1" x14ac:dyDescent="0.25">
      <c r="A560" s="24" t="s">
        <v>438</v>
      </c>
      <c r="B560" s="25" t="s">
        <v>822</v>
      </c>
      <c r="C560" s="24" t="s">
        <v>823</v>
      </c>
      <c r="D560" s="24">
        <v>612105</v>
      </c>
      <c r="E560" s="24" t="s">
        <v>373</v>
      </c>
      <c r="F560" s="24">
        <v>9699193686</v>
      </c>
      <c r="G560" s="24" t="s">
        <v>952</v>
      </c>
    </row>
    <row r="561" spans="1:7" ht="15.75" hidden="1" customHeight="1" x14ac:dyDescent="0.25">
      <c r="A561" s="24" t="s">
        <v>438</v>
      </c>
      <c r="B561" s="25" t="s">
        <v>953</v>
      </c>
      <c r="C561" s="24" t="s">
        <v>320</v>
      </c>
      <c r="D561" s="24">
        <v>611128</v>
      </c>
      <c r="E561" s="24" t="s">
        <v>373</v>
      </c>
      <c r="F561" s="24">
        <v>9699193686</v>
      </c>
      <c r="G561" s="24" t="s">
        <v>441</v>
      </c>
    </row>
    <row r="562" spans="1:7" ht="15.75" hidden="1" customHeight="1" x14ac:dyDescent="0.25">
      <c r="A562" s="24" t="s">
        <v>954</v>
      </c>
      <c r="B562" s="24" t="s">
        <v>313</v>
      </c>
      <c r="C562" s="24" t="s">
        <v>314</v>
      </c>
      <c r="D562" s="24">
        <v>612105</v>
      </c>
      <c r="E562" s="24" t="s">
        <v>373</v>
      </c>
      <c r="F562" s="24">
        <v>9699193686</v>
      </c>
      <c r="G562" s="24" t="s">
        <v>955</v>
      </c>
    </row>
    <row r="563" spans="1:7" ht="15.75" hidden="1" customHeight="1" x14ac:dyDescent="0.25">
      <c r="A563" s="24" t="s">
        <v>954</v>
      </c>
      <c r="B563" s="24" t="s">
        <v>317</v>
      </c>
      <c r="C563" s="24" t="s">
        <v>318</v>
      </c>
      <c r="D563" s="24">
        <v>612105</v>
      </c>
      <c r="E563" s="24" t="s">
        <v>373</v>
      </c>
      <c r="F563" s="24">
        <v>9699193686</v>
      </c>
      <c r="G563" s="24" t="s">
        <v>956</v>
      </c>
    </row>
    <row r="564" spans="1:7" ht="15.75" hidden="1" customHeight="1" x14ac:dyDescent="0.25">
      <c r="A564" s="24" t="s">
        <v>954</v>
      </c>
      <c r="B564" s="24" t="s">
        <v>320</v>
      </c>
      <c r="C564" s="24" t="s">
        <v>320</v>
      </c>
      <c r="D564" s="24">
        <v>611128</v>
      </c>
      <c r="E564" s="24" t="s">
        <v>373</v>
      </c>
      <c r="F564" s="24">
        <v>9699193686</v>
      </c>
      <c r="G564" s="24" t="s">
        <v>957</v>
      </c>
    </row>
    <row r="565" spans="1:7" ht="15.75" hidden="1" customHeight="1" x14ac:dyDescent="0.25">
      <c r="A565" s="24" t="s">
        <v>954</v>
      </c>
      <c r="B565" s="24" t="s">
        <v>322</v>
      </c>
      <c r="C565" s="24" t="s">
        <v>322</v>
      </c>
      <c r="D565" s="24">
        <v>611129</v>
      </c>
      <c r="E565" s="24" t="s">
        <v>373</v>
      </c>
      <c r="F565" s="24">
        <v>9699193686</v>
      </c>
      <c r="G565" s="24" t="s">
        <v>958</v>
      </c>
    </row>
    <row r="566" spans="1:7" ht="15.75" hidden="1" customHeight="1" x14ac:dyDescent="0.25">
      <c r="A566" s="24" t="s">
        <v>954</v>
      </c>
      <c r="B566" s="24" t="s">
        <v>324</v>
      </c>
      <c r="C566" s="24" t="s">
        <v>324</v>
      </c>
      <c r="D566" s="24">
        <v>512904</v>
      </c>
      <c r="E566" s="24" t="s">
        <v>373</v>
      </c>
      <c r="F566" s="24">
        <v>9699193686</v>
      </c>
      <c r="G566" s="24" t="s">
        <v>959</v>
      </c>
    </row>
    <row r="567" spans="1:7" ht="15.75" hidden="1" customHeight="1" x14ac:dyDescent="0.25">
      <c r="A567" s="24" t="s">
        <v>954</v>
      </c>
      <c r="B567" s="24" t="s">
        <v>332</v>
      </c>
      <c r="C567" s="24" t="s">
        <v>330</v>
      </c>
      <c r="D567" s="24">
        <v>611129</v>
      </c>
      <c r="E567" s="24" t="s">
        <v>373</v>
      </c>
      <c r="F567" s="24">
        <v>9699193686</v>
      </c>
      <c r="G567" s="24" t="s">
        <v>960</v>
      </c>
    </row>
    <row r="568" spans="1:7" ht="15.75" hidden="1" customHeight="1" x14ac:dyDescent="0.25">
      <c r="A568" s="24" t="s">
        <v>954</v>
      </c>
      <c r="B568" s="24" t="s">
        <v>333</v>
      </c>
      <c r="C568" s="24" t="s">
        <v>334</v>
      </c>
      <c r="D568" s="24">
        <v>612106</v>
      </c>
      <c r="E568" s="24" t="s">
        <v>373</v>
      </c>
      <c r="F568" s="24">
        <v>9699193686</v>
      </c>
      <c r="G568" s="24" t="s">
        <v>961</v>
      </c>
    </row>
    <row r="569" spans="1:7" ht="15.75" hidden="1" customHeight="1" x14ac:dyDescent="0.25">
      <c r="A569" s="24" t="s">
        <v>954</v>
      </c>
      <c r="B569" s="24" t="s">
        <v>336</v>
      </c>
      <c r="C569" s="24" t="s">
        <v>336</v>
      </c>
      <c r="D569" s="24">
        <v>512883</v>
      </c>
      <c r="E569" s="24" t="s">
        <v>373</v>
      </c>
      <c r="F569" s="24">
        <v>9699193686</v>
      </c>
      <c r="G569" s="24" t="s">
        <v>962</v>
      </c>
    </row>
    <row r="570" spans="1:7" ht="15.75" hidden="1" customHeight="1" x14ac:dyDescent="0.25">
      <c r="A570" s="24" t="s">
        <v>954</v>
      </c>
      <c r="B570" s="24" t="s">
        <v>338</v>
      </c>
      <c r="C570" s="24" t="s">
        <v>338</v>
      </c>
      <c r="D570" s="24">
        <v>512908</v>
      </c>
      <c r="E570" s="24" t="s">
        <v>373</v>
      </c>
      <c r="F570" s="24">
        <v>9699193686</v>
      </c>
      <c r="G570" s="24" t="s">
        <v>963</v>
      </c>
    </row>
    <row r="571" spans="1:7" ht="15.75" hidden="1" customHeight="1" x14ac:dyDescent="0.25">
      <c r="A571" s="24" t="s">
        <v>954</v>
      </c>
      <c r="B571" s="24" t="s">
        <v>340</v>
      </c>
      <c r="C571" s="24" t="s">
        <v>340</v>
      </c>
      <c r="D571" s="24">
        <v>512903</v>
      </c>
      <c r="E571" s="24" t="s">
        <v>373</v>
      </c>
      <c r="F571" s="24">
        <v>9699193686</v>
      </c>
      <c r="G571" s="24" t="s">
        <v>964</v>
      </c>
    </row>
    <row r="572" spans="1:7" ht="15.75" hidden="1" customHeight="1" x14ac:dyDescent="0.25">
      <c r="A572" s="24" t="s">
        <v>954</v>
      </c>
      <c r="B572" s="24" t="s">
        <v>342</v>
      </c>
      <c r="C572" s="24" t="s">
        <v>342</v>
      </c>
      <c r="D572" s="24">
        <v>512903</v>
      </c>
      <c r="E572" s="24" t="s">
        <v>373</v>
      </c>
      <c r="F572" s="24">
        <v>9699193686</v>
      </c>
      <c r="G572" s="24" t="s">
        <v>965</v>
      </c>
    </row>
    <row r="573" spans="1:7" ht="15.75" hidden="1" customHeight="1" x14ac:dyDescent="0.25">
      <c r="A573" s="24" t="s">
        <v>954</v>
      </c>
      <c r="B573" s="24" t="s">
        <v>344</v>
      </c>
      <c r="C573" s="24" t="s">
        <v>345</v>
      </c>
      <c r="D573" s="24">
        <v>512985</v>
      </c>
      <c r="E573" s="24" t="s">
        <v>373</v>
      </c>
      <c r="F573" s="24">
        <v>9699193686</v>
      </c>
      <c r="G573" s="24" t="s">
        <v>966</v>
      </c>
    </row>
    <row r="574" spans="1:7" ht="15.75" hidden="1" customHeight="1" x14ac:dyDescent="0.25">
      <c r="A574" s="24" t="s">
        <v>954</v>
      </c>
      <c r="B574" s="24" t="s">
        <v>347</v>
      </c>
      <c r="C574" s="24" t="s">
        <v>348</v>
      </c>
      <c r="D574" s="24">
        <v>512884</v>
      </c>
      <c r="E574" s="24" t="s">
        <v>373</v>
      </c>
      <c r="F574" s="24">
        <v>9699193686</v>
      </c>
      <c r="G574" s="24" t="s">
        <v>967</v>
      </c>
    </row>
    <row r="575" spans="1:7" ht="15.75" hidden="1" customHeight="1" x14ac:dyDescent="0.25">
      <c r="A575" s="24" t="s">
        <v>954</v>
      </c>
      <c r="B575" s="24" t="s">
        <v>350</v>
      </c>
      <c r="C575" s="24" t="s">
        <v>351</v>
      </c>
      <c r="D575" s="24">
        <v>512902</v>
      </c>
      <c r="E575" s="24" t="s">
        <v>373</v>
      </c>
      <c r="F575" s="24">
        <v>9699193686</v>
      </c>
      <c r="G575" s="24" t="s">
        <v>968</v>
      </c>
    </row>
    <row r="576" spans="1:7" ht="15.75" hidden="1" customHeight="1" x14ac:dyDescent="0.25">
      <c r="A576" s="24" t="s">
        <v>954</v>
      </c>
      <c r="B576" s="24" t="s">
        <v>353</v>
      </c>
      <c r="C576" s="24" t="s">
        <v>353</v>
      </c>
      <c r="D576" s="24">
        <v>512885</v>
      </c>
      <c r="E576" s="24" t="s">
        <v>373</v>
      </c>
      <c r="F576" s="24">
        <v>9699193686</v>
      </c>
      <c r="G576" s="24" t="s">
        <v>969</v>
      </c>
    </row>
    <row r="577" spans="1:10" ht="15.75" hidden="1" customHeight="1" x14ac:dyDescent="0.25">
      <c r="A577" s="24" t="s">
        <v>954</v>
      </c>
      <c r="B577" s="24" t="s">
        <v>862</v>
      </c>
      <c r="C577" s="24" t="s">
        <v>863</v>
      </c>
      <c r="D577" s="24">
        <v>612105</v>
      </c>
      <c r="E577" s="24" t="s">
        <v>373</v>
      </c>
      <c r="F577" s="24">
        <v>9699193686</v>
      </c>
      <c r="G577" s="24" t="s">
        <v>970</v>
      </c>
    </row>
    <row r="578" spans="1:10" ht="15.75" hidden="1" customHeight="1" x14ac:dyDescent="0.25">
      <c r="A578" s="24" t="s">
        <v>954</v>
      </c>
      <c r="B578" s="24" t="s">
        <v>452</v>
      </c>
      <c r="C578" s="24" t="s">
        <v>453</v>
      </c>
      <c r="D578" s="24">
        <v>512916</v>
      </c>
      <c r="E578" s="24" t="s">
        <v>373</v>
      </c>
      <c r="F578" s="24">
        <v>9699193686</v>
      </c>
      <c r="G578" s="24" t="s">
        <v>971</v>
      </c>
    </row>
    <row r="579" spans="1:10" ht="15.75" hidden="1" customHeight="1" x14ac:dyDescent="0.25">
      <c r="A579" s="24" t="s">
        <v>954</v>
      </c>
      <c r="B579" s="24" t="s">
        <v>822</v>
      </c>
      <c r="C579" s="24" t="s">
        <v>823</v>
      </c>
      <c r="D579" s="24">
        <v>612105</v>
      </c>
      <c r="E579" s="24" t="s">
        <v>373</v>
      </c>
      <c r="F579" s="24">
        <v>9699193686</v>
      </c>
      <c r="G579" s="24" t="s">
        <v>972</v>
      </c>
    </row>
    <row r="580" spans="1:10" ht="15.75" hidden="1" customHeight="1" x14ac:dyDescent="0.25">
      <c r="A580" s="24" t="s">
        <v>954</v>
      </c>
      <c r="B580" s="24" t="s">
        <v>949</v>
      </c>
      <c r="C580" s="24" t="s">
        <v>823</v>
      </c>
      <c r="D580" s="24">
        <v>612105</v>
      </c>
      <c r="E580" s="24" t="s">
        <v>373</v>
      </c>
      <c r="F580" s="24">
        <v>9699193686</v>
      </c>
      <c r="G580" s="24" t="s">
        <v>973</v>
      </c>
    </row>
    <row r="581" spans="1:10" ht="15.75" hidden="1" customHeight="1" x14ac:dyDescent="0.25">
      <c r="A581" s="24" t="s">
        <v>954</v>
      </c>
      <c r="B581" s="24" t="s">
        <v>851</v>
      </c>
      <c r="C581" s="24" t="s">
        <v>852</v>
      </c>
      <c r="D581" s="24">
        <v>612105</v>
      </c>
      <c r="E581" s="24" t="s">
        <v>373</v>
      </c>
      <c r="F581" s="24">
        <v>9699193686</v>
      </c>
      <c r="G581" s="24" t="s">
        <v>973</v>
      </c>
    </row>
    <row r="582" spans="1:10" ht="15.75" hidden="1" customHeight="1" x14ac:dyDescent="0.25">
      <c r="A582" s="24" t="s">
        <v>974</v>
      </c>
      <c r="B582" s="24" t="s">
        <v>313</v>
      </c>
      <c r="C582" s="24" t="s">
        <v>314</v>
      </c>
      <c r="D582" s="24">
        <v>612105</v>
      </c>
      <c r="E582" s="24" t="s">
        <v>373</v>
      </c>
      <c r="F582" s="24">
        <v>9699193686</v>
      </c>
      <c r="G582" s="24" t="s">
        <v>975</v>
      </c>
    </row>
    <row r="583" spans="1:10" ht="15.75" hidden="1" customHeight="1" x14ac:dyDescent="0.25">
      <c r="A583" s="24" t="s">
        <v>974</v>
      </c>
      <c r="B583" s="24" t="s">
        <v>317</v>
      </c>
      <c r="C583" s="24" t="s">
        <v>318</v>
      </c>
      <c r="D583" s="24">
        <v>612105</v>
      </c>
      <c r="E583" s="24" t="s">
        <v>373</v>
      </c>
      <c r="F583" s="24">
        <v>9699193686</v>
      </c>
      <c r="G583" s="24" t="s">
        <v>976</v>
      </c>
    </row>
    <row r="584" spans="1:10" ht="15.75" hidden="1" customHeight="1" x14ac:dyDescent="0.25">
      <c r="A584" s="24" t="s">
        <v>974</v>
      </c>
      <c r="B584" s="24" t="s">
        <v>320</v>
      </c>
      <c r="C584" s="24" t="s">
        <v>320</v>
      </c>
      <c r="D584" s="24">
        <v>611128</v>
      </c>
      <c r="E584" s="24" t="s">
        <v>373</v>
      </c>
      <c r="F584" s="24">
        <v>9699193686</v>
      </c>
      <c r="G584" s="24" t="s">
        <v>977</v>
      </c>
    </row>
    <row r="585" spans="1:10" ht="15.75" hidden="1" customHeight="1" x14ac:dyDescent="0.25">
      <c r="A585" s="24" t="s">
        <v>974</v>
      </c>
      <c r="B585" s="24" t="s">
        <v>322</v>
      </c>
      <c r="C585" s="24" t="s">
        <v>322</v>
      </c>
      <c r="D585" s="24">
        <v>611129</v>
      </c>
      <c r="E585" s="24" t="s">
        <v>373</v>
      </c>
      <c r="F585" s="24">
        <v>9699193686</v>
      </c>
      <c r="G585" s="24" t="s">
        <v>978</v>
      </c>
    </row>
    <row r="586" spans="1:10" ht="15.75" hidden="1" customHeight="1" x14ac:dyDescent="0.25">
      <c r="A586" s="24" t="s">
        <v>974</v>
      </c>
      <c r="B586" s="24" t="s">
        <v>324</v>
      </c>
      <c r="C586" s="24" t="s">
        <v>324</v>
      </c>
      <c r="D586" s="24">
        <v>512904</v>
      </c>
      <c r="E586" s="24" t="s">
        <v>373</v>
      </c>
      <c r="F586" s="24">
        <v>9699193686</v>
      </c>
      <c r="G586" s="24" t="s">
        <v>979</v>
      </c>
      <c r="J586" s="4"/>
    </row>
    <row r="587" spans="1:10" ht="15.75" hidden="1" customHeight="1" x14ac:dyDescent="0.25">
      <c r="A587" s="24" t="s">
        <v>974</v>
      </c>
      <c r="B587" s="24" t="s">
        <v>332</v>
      </c>
      <c r="C587" s="24" t="s">
        <v>330</v>
      </c>
      <c r="D587" s="24">
        <v>611129</v>
      </c>
      <c r="E587" s="24" t="s">
        <v>373</v>
      </c>
      <c r="F587" s="24">
        <v>9699193686</v>
      </c>
      <c r="G587" s="24" t="s">
        <v>980</v>
      </c>
      <c r="J587" s="4"/>
    </row>
    <row r="588" spans="1:10" ht="15.75" hidden="1" customHeight="1" x14ac:dyDescent="0.25">
      <c r="A588" s="24" t="s">
        <v>974</v>
      </c>
      <c r="B588" s="24" t="s">
        <v>333</v>
      </c>
      <c r="C588" s="24" t="s">
        <v>334</v>
      </c>
      <c r="D588" s="24">
        <v>612106</v>
      </c>
      <c r="E588" s="24" t="s">
        <v>373</v>
      </c>
      <c r="F588" s="24">
        <v>9699193686</v>
      </c>
      <c r="G588" s="24" t="s">
        <v>981</v>
      </c>
      <c r="J588" s="4"/>
    </row>
    <row r="589" spans="1:10" ht="15.75" hidden="1" customHeight="1" x14ac:dyDescent="0.25">
      <c r="A589" s="24" t="s">
        <v>974</v>
      </c>
      <c r="B589" s="24" t="s">
        <v>336</v>
      </c>
      <c r="C589" s="24" t="s">
        <v>336</v>
      </c>
      <c r="D589" s="24">
        <v>512883</v>
      </c>
      <c r="E589" s="24" t="s">
        <v>373</v>
      </c>
      <c r="F589" s="24">
        <v>9699193686</v>
      </c>
      <c r="G589" s="24" t="s">
        <v>982</v>
      </c>
      <c r="J589" s="4"/>
    </row>
    <row r="590" spans="1:10" ht="15.75" hidden="1" customHeight="1" x14ac:dyDescent="0.25">
      <c r="A590" s="24" t="s">
        <v>974</v>
      </c>
      <c r="B590" s="24" t="s">
        <v>338</v>
      </c>
      <c r="C590" s="24" t="s">
        <v>338</v>
      </c>
      <c r="D590" s="24">
        <v>512908</v>
      </c>
      <c r="E590" s="24" t="s">
        <v>373</v>
      </c>
      <c r="F590" s="24">
        <v>9699193686</v>
      </c>
      <c r="G590" s="24" t="s">
        <v>983</v>
      </c>
      <c r="J590" s="4"/>
    </row>
    <row r="591" spans="1:10" ht="15.75" hidden="1" customHeight="1" x14ac:dyDescent="0.25">
      <c r="A591" s="24" t="s">
        <v>974</v>
      </c>
      <c r="B591" s="24" t="s">
        <v>340</v>
      </c>
      <c r="C591" s="24" t="s">
        <v>340</v>
      </c>
      <c r="D591" s="24">
        <v>512903</v>
      </c>
      <c r="E591" s="24" t="s">
        <v>373</v>
      </c>
      <c r="F591" s="24">
        <v>9699193686</v>
      </c>
      <c r="G591" s="24" t="s">
        <v>984</v>
      </c>
      <c r="J591" s="4"/>
    </row>
    <row r="592" spans="1:10" ht="15.75" hidden="1" customHeight="1" x14ac:dyDescent="0.25">
      <c r="A592" s="24" t="s">
        <v>974</v>
      </c>
      <c r="B592" s="24" t="s">
        <v>342</v>
      </c>
      <c r="C592" s="24" t="s">
        <v>342</v>
      </c>
      <c r="D592" s="24">
        <v>512903</v>
      </c>
      <c r="E592" s="24" t="s">
        <v>373</v>
      </c>
      <c r="F592" s="24">
        <v>9699193686</v>
      </c>
      <c r="G592" s="24" t="s">
        <v>985</v>
      </c>
      <c r="J592" s="4"/>
    </row>
    <row r="593" spans="1:10" ht="15.75" hidden="1" customHeight="1" x14ac:dyDescent="0.25">
      <c r="A593" s="24" t="s">
        <v>974</v>
      </c>
      <c r="B593" s="24" t="s">
        <v>344</v>
      </c>
      <c r="C593" s="24" t="s">
        <v>345</v>
      </c>
      <c r="D593" s="24">
        <v>512985</v>
      </c>
      <c r="E593" s="24" t="s">
        <v>373</v>
      </c>
      <c r="F593" s="24">
        <v>9699193686</v>
      </c>
      <c r="G593" s="24" t="s">
        <v>986</v>
      </c>
      <c r="J593" s="4"/>
    </row>
    <row r="594" spans="1:10" ht="15.75" hidden="1" customHeight="1" x14ac:dyDescent="0.25">
      <c r="A594" s="24" t="s">
        <v>974</v>
      </c>
      <c r="B594" s="24" t="s">
        <v>434</v>
      </c>
      <c r="C594" s="24" t="s">
        <v>348</v>
      </c>
      <c r="D594" s="24">
        <v>512884</v>
      </c>
      <c r="E594" s="24" t="s">
        <v>373</v>
      </c>
      <c r="F594" s="24">
        <v>9699193686</v>
      </c>
      <c r="G594" s="24" t="s">
        <v>987</v>
      </c>
      <c r="J594" s="4"/>
    </row>
    <row r="595" spans="1:10" ht="15.75" hidden="1" customHeight="1" x14ac:dyDescent="0.25">
      <c r="A595" s="24" t="s">
        <v>974</v>
      </c>
      <c r="B595" s="24" t="s">
        <v>350</v>
      </c>
      <c r="C595" s="24" t="s">
        <v>351</v>
      </c>
      <c r="D595" s="24">
        <v>512902</v>
      </c>
      <c r="E595" s="24" t="s">
        <v>373</v>
      </c>
      <c r="F595" s="24">
        <v>9699193686</v>
      </c>
      <c r="G595" s="24" t="s">
        <v>988</v>
      </c>
      <c r="J595" s="4"/>
    </row>
    <row r="596" spans="1:10" ht="15.75" hidden="1" customHeight="1" x14ac:dyDescent="0.25">
      <c r="A596" s="24" t="s">
        <v>974</v>
      </c>
      <c r="B596" s="24" t="s">
        <v>353</v>
      </c>
      <c r="C596" s="24" t="s">
        <v>353</v>
      </c>
      <c r="D596" s="24">
        <v>512885</v>
      </c>
      <c r="E596" s="24" t="s">
        <v>373</v>
      </c>
      <c r="F596" s="24">
        <v>9699193686</v>
      </c>
      <c r="G596" s="24" t="s">
        <v>989</v>
      </c>
      <c r="J596" s="4"/>
    </row>
    <row r="597" spans="1:10" ht="15.75" hidden="1" customHeight="1" x14ac:dyDescent="0.25">
      <c r="A597" s="24" t="s">
        <v>990</v>
      </c>
      <c r="B597" s="24" t="s">
        <v>313</v>
      </c>
      <c r="C597" s="24" t="s">
        <v>314</v>
      </c>
      <c r="D597" s="24">
        <v>612105</v>
      </c>
      <c r="E597" s="24" t="s">
        <v>373</v>
      </c>
      <c r="F597" s="24">
        <v>9699193686</v>
      </c>
      <c r="G597" s="24" t="s">
        <v>991</v>
      </c>
      <c r="J597" s="4"/>
    </row>
    <row r="598" spans="1:10" ht="15.75" hidden="1" customHeight="1" x14ac:dyDescent="0.25">
      <c r="A598" s="24" t="s">
        <v>990</v>
      </c>
      <c r="B598" s="24" t="s">
        <v>317</v>
      </c>
      <c r="C598" s="24" t="s">
        <v>318</v>
      </c>
      <c r="D598" s="24">
        <v>612105</v>
      </c>
      <c r="E598" s="24" t="s">
        <v>373</v>
      </c>
      <c r="F598" s="24">
        <v>9699193686</v>
      </c>
      <c r="G598" s="24" t="s">
        <v>992</v>
      </c>
      <c r="J598" s="4"/>
    </row>
    <row r="599" spans="1:10" ht="15.75" hidden="1" customHeight="1" x14ac:dyDescent="0.25">
      <c r="A599" s="24" t="s">
        <v>990</v>
      </c>
      <c r="B599" s="24" t="s">
        <v>320</v>
      </c>
      <c r="C599" s="24" t="s">
        <v>320</v>
      </c>
      <c r="D599" s="24">
        <v>611128</v>
      </c>
      <c r="E599" s="24" t="s">
        <v>373</v>
      </c>
      <c r="F599" s="24">
        <v>9699193686</v>
      </c>
      <c r="G599" s="24" t="s">
        <v>993</v>
      </c>
      <c r="J599" s="4"/>
    </row>
    <row r="600" spans="1:10" ht="15.75" hidden="1" customHeight="1" x14ac:dyDescent="0.25">
      <c r="A600" s="24" t="s">
        <v>990</v>
      </c>
      <c r="B600" s="24" t="s">
        <v>322</v>
      </c>
      <c r="C600" s="24" t="s">
        <v>322</v>
      </c>
      <c r="D600" s="24">
        <v>611129</v>
      </c>
      <c r="E600" s="24" t="s">
        <v>373</v>
      </c>
      <c r="F600" s="24">
        <v>9699193686</v>
      </c>
      <c r="G600" s="24" t="s">
        <v>994</v>
      </c>
      <c r="J600" s="4"/>
    </row>
    <row r="601" spans="1:10" ht="15.75" hidden="1" customHeight="1" x14ac:dyDescent="0.25">
      <c r="A601" s="24" t="s">
        <v>990</v>
      </c>
      <c r="B601" s="24" t="s">
        <v>324</v>
      </c>
      <c r="C601" s="24" t="s">
        <v>324</v>
      </c>
      <c r="D601" s="24">
        <v>512904</v>
      </c>
      <c r="E601" s="24" t="s">
        <v>373</v>
      </c>
      <c r="F601" s="24">
        <v>9699193686</v>
      </c>
      <c r="G601" s="24" t="s">
        <v>995</v>
      </c>
      <c r="J601" s="4"/>
    </row>
    <row r="602" spans="1:10" ht="15.75" hidden="1" customHeight="1" x14ac:dyDescent="0.25">
      <c r="A602" s="24" t="s">
        <v>990</v>
      </c>
      <c r="B602" s="24" t="s">
        <v>332</v>
      </c>
      <c r="C602" s="24" t="s">
        <v>330</v>
      </c>
      <c r="D602" s="24">
        <v>611129</v>
      </c>
      <c r="E602" s="24" t="s">
        <v>373</v>
      </c>
      <c r="F602" s="24">
        <v>9699193686</v>
      </c>
      <c r="G602" s="24" t="s">
        <v>996</v>
      </c>
      <c r="J602" s="4"/>
    </row>
    <row r="603" spans="1:10" ht="15.75" hidden="1" customHeight="1" x14ac:dyDescent="0.25">
      <c r="A603" s="24" t="s">
        <v>990</v>
      </c>
      <c r="B603" s="24" t="s">
        <v>333</v>
      </c>
      <c r="C603" s="24" t="s">
        <v>334</v>
      </c>
      <c r="D603" s="24">
        <v>612106</v>
      </c>
      <c r="E603" s="24" t="s">
        <v>373</v>
      </c>
      <c r="F603" s="24">
        <v>9699193686</v>
      </c>
      <c r="G603" s="24" t="s">
        <v>997</v>
      </c>
      <c r="J603" s="4"/>
    </row>
    <row r="604" spans="1:10" ht="15.75" hidden="1" customHeight="1" x14ac:dyDescent="0.25">
      <c r="A604" s="24" t="s">
        <v>990</v>
      </c>
      <c r="B604" s="24" t="s">
        <v>336</v>
      </c>
      <c r="C604" s="24" t="s">
        <v>336</v>
      </c>
      <c r="D604" s="24">
        <v>512883</v>
      </c>
      <c r="E604" s="24" t="s">
        <v>373</v>
      </c>
      <c r="F604" s="24">
        <v>9699193686</v>
      </c>
      <c r="G604" s="24" t="s">
        <v>998</v>
      </c>
      <c r="J604" s="4"/>
    </row>
    <row r="605" spans="1:10" ht="15.75" hidden="1" customHeight="1" x14ac:dyDescent="0.25">
      <c r="A605" s="24" t="s">
        <v>990</v>
      </c>
      <c r="B605" s="24" t="s">
        <v>338</v>
      </c>
      <c r="C605" s="24" t="s">
        <v>338</v>
      </c>
      <c r="D605" s="24">
        <v>512908</v>
      </c>
      <c r="E605" s="24" t="s">
        <v>373</v>
      </c>
      <c r="F605" s="24">
        <v>9699193686</v>
      </c>
      <c r="G605" s="24" t="s">
        <v>999</v>
      </c>
      <c r="J605" s="4"/>
    </row>
    <row r="606" spans="1:10" ht="15.75" hidden="1" customHeight="1" x14ac:dyDescent="0.25">
      <c r="A606" s="24" t="s">
        <v>990</v>
      </c>
      <c r="B606" s="24" t="s">
        <v>340</v>
      </c>
      <c r="C606" s="24" t="s">
        <v>340</v>
      </c>
      <c r="D606" s="24">
        <v>512903</v>
      </c>
      <c r="E606" s="24" t="s">
        <v>373</v>
      </c>
      <c r="F606" s="24">
        <v>9699193686</v>
      </c>
      <c r="G606" s="24" t="s">
        <v>1000</v>
      </c>
    </row>
    <row r="607" spans="1:10" ht="15.75" hidden="1" customHeight="1" x14ac:dyDescent="0.25">
      <c r="A607" s="24" t="s">
        <v>990</v>
      </c>
      <c r="B607" s="24" t="s">
        <v>342</v>
      </c>
      <c r="C607" s="24" t="s">
        <v>342</v>
      </c>
      <c r="D607" s="24">
        <v>512903</v>
      </c>
      <c r="E607" s="24" t="s">
        <v>373</v>
      </c>
      <c r="F607" s="24">
        <v>9699193686</v>
      </c>
      <c r="G607" s="24" t="s">
        <v>1001</v>
      </c>
    </row>
    <row r="608" spans="1:10" ht="15.75" hidden="1" customHeight="1" x14ac:dyDescent="0.25">
      <c r="A608" s="24" t="s">
        <v>990</v>
      </c>
      <c r="B608" s="24" t="s">
        <v>344</v>
      </c>
      <c r="C608" s="24" t="s">
        <v>345</v>
      </c>
      <c r="D608" s="24">
        <v>512985</v>
      </c>
      <c r="E608" s="24" t="s">
        <v>373</v>
      </c>
      <c r="F608" s="24">
        <v>9699193686</v>
      </c>
      <c r="G608" s="24" t="s">
        <v>1002</v>
      </c>
    </row>
    <row r="609" spans="1:26" ht="15.75" hidden="1" customHeight="1" x14ac:dyDescent="0.25">
      <c r="A609" s="24" t="s">
        <v>990</v>
      </c>
      <c r="B609" s="24" t="s">
        <v>347</v>
      </c>
      <c r="C609" s="24" t="s">
        <v>348</v>
      </c>
      <c r="D609" s="24">
        <v>512884</v>
      </c>
      <c r="E609" s="24" t="s">
        <v>373</v>
      </c>
      <c r="F609" s="24">
        <v>9699193686</v>
      </c>
      <c r="G609" s="24" t="s">
        <v>1003</v>
      </c>
    </row>
    <row r="610" spans="1:26" ht="15.75" hidden="1" customHeight="1" x14ac:dyDescent="0.25">
      <c r="A610" s="24" t="s">
        <v>990</v>
      </c>
      <c r="B610" s="24" t="s">
        <v>350</v>
      </c>
      <c r="C610" s="24" t="s">
        <v>351</v>
      </c>
      <c r="D610" s="24">
        <v>512902</v>
      </c>
      <c r="E610" s="24" t="s">
        <v>373</v>
      </c>
      <c r="F610" s="24">
        <v>9699193686</v>
      </c>
      <c r="G610" s="24" t="s">
        <v>1004</v>
      </c>
    </row>
    <row r="611" spans="1:26" ht="15.75" hidden="1" customHeight="1" x14ac:dyDescent="0.25">
      <c r="A611" s="24" t="s">
        <v>990</v>
      </c>
      <c r="B611" s="24" t="s">
        <v>353</v>
      </c>
      <c r="C611" s="24" t="s">
        <v>353</v>
      </c>
      <c r="D611" s="24">
        <v>512885</v>
      </c>
      <c r="E611" s="24" t="s">
        <v>373</v>
      </c>
      <c r="F611" s="24">
        <v>9699193686</v>
      </c>
      <c r="G611" s="24" t="s">
        <v>1005</v>
      </c>
    </row>
    <row r="612" spans="1:26" ht="15.75" hidden="1" customHeight="1" x14ac:dyDescent="0.25">
      <c r="A612" s="24" t="s">
        <v>990</v>
      </c>
      <c r="B612" s="24" t="s">
        <v>862</v>
      </c>
      <c r="C612" s="24" t="s">
        <v>863</v>
      </c>
      <c r="D612" s="24">
        <v>612105</v>
      </c>
      <c r="E612" s="24" t="s">
        <v>373</v>
      </c>
      <c r="F612" s="24">
        <v>9699193686</v>
      </c>
      <c r="G612" s="24" t="s">
        <v>1006</v>
      </c>
    </row>
    <row r="613" spans="1:26" ht="15.75" hidden="1" customHeight="1" x14ac:dyDescent="0.25">
      <c r="A613" s="24" t="s">
        <v>990</v>
      </c>
      <c r="B613" s="24" t="s">
        <v>452</v>
      </c>
      <c r="C613" s="24" t="s">
        <v>453</v>
      </c>
      <c r="D613" s="24">
        <v>512916</v>
      </c>
      <c r="E613" s="24" t="s">
        <v>373</v>
      </c>
      <c r="F613" s="24">
        <v>9699193686</v>
      </c>
      <c r="G613" s="24" t="s">
        <v>1007</v>
      </c>
    </row>
    <row r="614" spans="1:26" ht="15.75" hidden="1" customHeight="1" x14ac:dyDescent="0.25">
      <c r="A614" s="24" t="s">
        <v>990</v>
      </c>
      <c r="B614" s="24" t="s">
        <v>1008</v>
      </c>
      <c r="C614" s="24" t="s">
        <v>453</v>
      </c>
      <c r="D614" s="24">
        <v>512916</v>
      </c>
      <c r="E614" s="24" t="s">
        <v>373</v>
      </c>
      <c r="F614" s="24">
        <v>9699193686</v>
      </c>
      <c r="G614" s="24" t="s">
        <v>1007</v>
      </c>
      <c r="H614" s="4"/>
      <c r="I614" s="4"/>
      <c r="J614" s="4"/>
      <c r="K614" s="4"/>
      <c r="L614" s="4"/>
      <c r="M614" s="4"/>
      <c r="N614" s="4"/>
      <c r="O614" s="4"/>
      <c r="P614" s="4"/>
      <c r="Q614" s="4"/>
      <c r="R614" s="4"/>
      <c r="S614" s="4"/>
      <c r="T614" s="4"/>
      <c r="U614" s="4"/>
      <c r="V614" s="4"/>
      <c r="W614" s="4"/>
      <c r="X614" s="4"/>
      <c r="Y614" s="4"/>
      <c r="Z614" s="4"/>
    </row>
    <row r="615" spans="1:26" ht="15.75" hidden="1" customHeight="1" x14ac:dyDescent="0.25">
      <c r="A615" s="24" t="s">
        <v>990</v>
      </c>
      <c r="B615" s="24" t="s">
        <v>822</v>
      </c>
      <c r="C615" s="24" t="s">
        <v>823</v>
      </c>
      <c r="D615" s="24">
        <v>612105</v>
      </c>
      <c r="E615" s="24" t="s">
        <v>373</v>
      </c>
      <c r="F615" s="24">
        <v>9699193686</v>
      </c>
      <c r="G615" s="24" t="s">
        <v>1009</v>
      </c>
    </row>
    <row r="616" spans="1:26" ht="15.75" hidden="1" customHeight="1" x14ac:dyDescent="0.25">
      <c r="A616" s="24" t="s">
        <v>990</v>
      </c>
      <c r="B616" s="24" t="s">
        <v>949</v>
      </c>
      <c r="C616" s="24" t="s">
        <v>823</v>
      </c>
      <c r="D616" s="24">
        <v>612105</v>
      </c>
      <c r="E616" s="24" t="s">
        <v>373</v>
      </c>
      <c r="F616" s="24">
        <v>9699193686</v>
      </c>
      <c r="G616" s="24" t="s">
        <v>1010</v>
      </c>
    </row>
    <row r="617" spans="1:26" ht="15.75" hidden="1" customHeight="1" x14ac:dyDescent="0.25">
      <c r="A617" s="24" t="s">
        <v>990</v>
      </c>
      <c r="B617" s="24" t="s">
        <v>851</v>
      </c>
      <c r="C617" s="24" t="s">
        <v>852</v>
      </c>
      <c r="D617" s="24">
        <v>612105</v>
      </c>
      <c r="E617" s="24" t="s">
        <v>373</v>
      </c>
      <c r="F617" s="24">
        <v>9699193686</v>
      </c>
      <c r="G617" s="24" t="s">
        <v>1010</v>
      </c>
    </row>
    <row r="618" spans="1:26" ht="15.75" hidden="1" customHeight="1" x14ac:dyDescent="0.25">
      <c r="A618" s="24" t="s">
        <v>1011</v>
      </c>
      <c r="B618" s="24" t="s">
        <v>313</v>
      </c>
      <c r="C618" s="24" t="s">
        <v>314</v>
      </c>
      <c r="D618" s="24">
        <v>612105</v>
      </c>
      <c r="E618" s="24" t="s">
        <v>373</v>
      </c>
      <c r="F618" s="24">
        <v>9699193686</v>
      </c>
      <c r="G618" s="24" t="s">
        <v>1012</v>
      </c>
    </row>
    <row r="619" spans="1:26" ht="15.75" hidden="1" customHeight="1" x14ac:dyDescent="0.25">
      <c r="A619" s="24" t="s">
        <v>1011</v>
      </c>
      <c r="B619" s="24" t="s">
        <v>317</v>
      </c>
      <c r="C619" s="24" t="s">
        <v>318</v>
      </c>
      <c r="D619" s="24">
        <v>612105</v>
      </c>
      <c r="E619" s="24" t="s">
        <v>373</v>
      </c>
      <c r="F619" s="24">
        <v>9699193686</v>
      </c>
      <c r="G619" s="24" t="s">
        <v>1013</v>
      </c>
    </row>
    <row r="620" spans="1:26" ht="15.75" hidden="1" customHeight="1" x14ac:dyDescent="0.25">
      <c r="A620" s="24" t="s">
        <v>1011</v>
      </c>
      <c r="B620" s="24" t="s">
        <v>320</v>
      </c>
      <c r="C620" s="24" t="s">
        <v>320</v>
      </c>
      <c r="D620" s="24">
        <v>611128</v>
      </c>
      <c r="E620" s="24" t="s">
        <v>373</v>
      </c>
      <c r="F620" s="24">
        <v>9699193686</v>
      </c>
      <c r="G620" s="24" t="s">
        <v>1014</v>
      </c>
    </row>
    <row r="621" spans="1:26" ht="15.75" hidden="1" customHeight="1" x14ac:dyDescent="0.25">
      <c r="A621" s="24" t="s">
        <v>1011</v>
      </c>
      <c r="B621" s="24" t="s">
        <v>322</v>
      </c>
      <c r="C621" s="24" t="s">
        <v>322</v>
      </c>
      <c r="D621" s="24">
        <v>611129</v>
      </c>
      <c r="E621" s="24" t="s">
        <v>373</v>
      </c>
      <c r="F621" s="24">
        <v>9699193686</v>
      </c>
      <c r="G621" s="24" t="s">
        <v>1015</v>
      </c>
    </row>
    <row r="622" spans="1:26" ht="15.75" hidden="1" customHeight="1" x14ac:dyDescent="0.25">
      <c r="A622" s="24" t="s">
        <v>1011</v>
      </c>
      <c r="B622" s="24" t="s">
        <v>324</v>
      </c>
      <c r="C622" s="24" t="s">
        <v>324</v>
      </c>
      <c r="D622" s="24">
        <v>512904</v>
      </c>
      <c r="E622" s="24" t="s">
        <v>373</v>
      </c>
      <c r="F622" s="24">
        <v>9699193686</v>
      </c>
      <c r="G622" s="24" t="s">
        <v>1016</v>
      </c>
    </row>
    <row r="623" spans="1:26" ht="15.75" hidden="1" customHeight="1" x14ac:dyDescent="0.25">
      <c r="A623" s="24" t="s">
        <v>1011</v>
      </c>
      <c r="B623" s="24" t="s">
        <v>332</v>
      </c>
      <c r="C623" s="24" t="s">
        <v>330</v>
      </c>
      <c r="D623" s="24">
        <v>611129</v>
      </c>
      <c r="E623" s="24" t="s">
        <v>373</v>
      </c>
      <c r="F623" s="24">
        <v>9699193686</v>
      </c>
      <c r="G623" s="24" t="s">
        <v>1017</v>
      </c>
    </row>
    <row r="624" spans="1:26" ht="15.75" hidden="1" customHeight="1" x14ac:dyDescent="0.25">
      <c r="A624" s="24" t="s">
        <v>1011</v>
      </c>
      <c r="B624" s="24" t="s">
        <v>333</v>
      </c>
      <c r="C624" s="24" t="s">
        <v>334</v>
      </c>
      <c r="D624" s="24">
        <v>612106</v>
      </c>
      <c r="E624" s="24" t="s">
        <v>373</v>
      </c>
      <c r="F624" s="24">
        <v>9699193686</v>
      </c>
      <c r="G624" s="24" t="s">
        <v>1018</v>
      </c>
    </row>
    <row r="625" spans="1:7" ht="15.75" hidden="1" customHeight="1" x14ac:dyDescent="0.25">
      <c r="A625" s="24" t="s">
        <v>1011</v>
      </c>
      <c r="B625" s="24" t="s">
        <v>336</v>
      </c>
      <c r="C625" s="24" t="s">
        <v>336</v>
      </c>
      <c r="D625" s="24">
        <v>512883</v>
      </c>
      <c r="E625" s="24" t="s">
        <v>373</v>
      </c>
      <c r="F625" s="24">
        <v>9699193686</v>
      </c>
      <c r="G625" s="24" t="s">
        <v>1019</v>
      </c>
    </row>
    <row r="626" spans="1:7" ht="15.75" hidden="1" customHeight="1" x14ac:dyDescent="0.25">
      <c r="A626" s="24" t="s">
        <v>1011</v>
      </c>
      <c r="B626" s="24" t="s">
        <v>338</v>
      </c>
      <c r="C626" s="24" t="s">
        <v>338</v>
      </c>
      <c r="D626" s="24">
        <v>512908</v>
      </c>
      <c r="E626" s="24" t="s">
        <v>373</v>
      </c>
      <c r="F626" s="24">
        <v>9699193686</v>
      </c>
      <c r="G626" s="24" t="s">
        <v>1020</v>
      </c>
    </row>
    <row r="627" spans="1:7" ht="15.75" hidden="1" customHeight="1" x14ac:dyDescent="0.25">
      <c r="A627" s="24" t="s">
        <v>1011</v>
      </c>
      <c r="B627" s="24" t="s">
        <v>340</v>
      </c>
      <c r="C627" s="24" t="s">
        <v>340</v>
      </c>
      <c r="D627" s="24">
        <v>512903</v>
      </c>
      <c r="E627" s="24" t="s">
        <v>373</v>
      </c>
      <c r="F627" s="24">
        <v>9699193686</v>
      </c>
      <c r="G627" s="24" t="s">
        <v>1021</v>
      </c>
    </row>
    <row r="628" spans="1:7" ht="15.75" hidden="1" customHeight="1" x14ac:dyDescent="0.25">
      <c r="A628" s="24" t="s">
        <v>1011</v>
      </c>
      <c r="B628" s="24" t="s">
        <v>342</v>
      </c>
      <c r="C628" s="24" t="s">
        <v>342</v>
      </c>
      <c r="D628" s="24">
        <v>512903</v>
      </c>
      <c r="E628" s="24" t="s">
        <v>373</v>
      </c>
      <c r="F628" s="24">
        <v>9699193686</v>
      </c>
      <c r="G628" s="24" t="s">
        <v>1022</v>
      </c>
    </row>
    <row r="629" spans="1:7" ht="15.75" hidden="1" customHeight="1" x14ac:dyDescent="0.25">
      <c r="A629" s="24" t="s">
        <v>1011</v>
      </c>
      <c r="B629" s="24" t="s">
        <v>344</v>
      </c>
      <c r="C629" s="24" t="s">
        <v>345</v>
      </c>
      <c r="D629" s="24">
        <v>512985</v>
      </c>
      <c r="E629" s="24" t="s">
        <v>373</v>
      </c>
      <c r="F629" s="24">
        <v>9699193686</v>
      </c>
      <c r="G629" s="24" t="s">
        <v>1023</v>
      </c>
    </row>
    <row r="630" spans="1:7" ht="15.75" hidden="1" customHeight="1" x14ac:dyDescent="0.25">
      <c r="A630" s="24" t="s">
        <v>1011</v>
      </c>
      <c r="B630" s="24" t="s">
        <v>434</v>
      </c>
      <c r="C630" s="24" t="s">
        <v>348</v>
      </c>
      <c r="D630" s="24">
        <v>512884</v>
      </c>
      <c r="E630" s="24" t="s">
        <v>373</v>
      </c>
      <c r="F630" s="24">
        <v>9699193686</v>
      </c>
      <c r="G630" s="24" t="s">
        <v>1024</v>
      </c>
    </row>
    <row r="631" spans="1:7" ht="15.75" hidden="1" customHeight="1" x14ac:dyDescent="0.25">
      <c r="A631" s="24" t="s">
        <v>1011</v>
      </c>
      <c r="B631" s="24" t="s">
        <v>350</v>
      </c>
      <c r="C631" s="24" t="s">
        <v>351</v>
      </c>
      <c r="D631" s="24">
        <v>512902</v>
      </c>
      <c r="E631" s="24" t="s">
        <v>373</v>
      </c>
      <c r="F631" s="24">
        <v>9699193686</v>
      </c>
      <c r="G631" s="24" t="s">
        <v>1025</v>
      </c>
    </row>
    <row r="632" spans="1:7" ht="15.75" hidden="1" customHeight="1" x14ac:dyDescent="0.25">
      <c r="A632" s="24" t="s">
        <v>1011</v>
      </c>
      <c r="B632" s="24" t="s">
        <v>353</v>
      </c>
      <c r="C632" s="24" t="s">
        <v>353</v>
      </c>
      <c r="D632" s="24">
        <v>512885</v>
      </c>
      <c r="E632" s="24" t="s">
        <v>373</v>
      </c>
      <c r="F632" s="24">
        <v>9699193686</v>
      </c>
      <c r="G632" s="24" t="s">
        <v>1026</v>
      </c>
    </row>
    <row r="633" spans="1:7" ht="15.75" hidden="1" customHeight="1" x14ac:dyDescent="0.25">
      <c r="A633" s="24" t="s">
        <v>1027</v>
      </c>
      <c r="B633" s="24" t="s">
        <v>313</v>
      </c>
      <c r="C633" s="24" t="s">
        <v>314</v>
      </c>
      <c r="D633" s="24">
        <v>612105</v>
      </c>
      <c r="E633" s="24" t="s">
        <v>373</v>
      </c>
      <c r="F633" s="24">
        <v>9699193686</v>
      </c>
      <c r="G633" s="24" t="s">
        <v>1028</v>
      </c>
    </row>
    <row r="634" spans="1:7" ht="15.75" hidden="1" customHeight="1" x14ac:dyDescent="0.25">
      <c r="A634" s="24" t="s">
        <v>1027</v>
      </c>
      <c r="B634" s="24" t="s">
        <v>317</v>
      </c>
      <c r="C634" s="24" t="s">
        <v>318</v>
      </c>
      <c r="D634" s="24">
        <v>612105</v>
      </c>
      <c r="E634" s="24" t="s">
        <v>373</v>
      </c>
      <c r="F634" s="24">
        <v>9699193686</v>
      </c>
      <c r="G634" s="24" t="s">
        <v>1029</v>
      </c>
    </row>
    <row r="635" spans="1:7" ht="15.75" hidden="1" customHeight="1" x14ac:dyDescent="0.25">
      <c r="A635" s="24" t="s">
        <v>1027</v>
      </c>
      <c r="B635" s="24" t="s">
        <v>320</v>
      </c>
      <c r="C635" s="24" t="s">
        <v>320</v>
      </c>
      <c r="D635" s="24">
        <v>611128</v>
      </c>
      <c r="E635" s="24" t="s">
        <v>373</v>
      </c>
      <c r="F635" s="24">
        <v>9699193686</v>
      </c>
      <c r="G635" s="24" t="s">
        <v>1030</v>
      </c>
    </row>
    <row r="636" spans="1:7" ht="15.75" hidden="1" customHeight="1" x14ac:dyDescent="0.25">
      <c r="A636" s="24" t="s">
        <v>1027</v>
      </c>
      <c r="B636" s="24" t="s">
        <v>322</v>
      </c>
      <c r="C636" s="24" t="s">
        <v>322</v>
      </c>
      <c r="D636" s="24">
        <v>611129</v>
      </c>
      <c r="E636" s="24" t="s">
        <v>373</v>
      </c>
      <c r="F636" s="24">
        <v>9699193686</v>
      </c>
      <c r="G636" s="24" t="s">
        <v>1031</v>
      </c>
    </row>
    <row r="637" spans="1:7" ht="15.75" hidden="1" customHeight="1" x14ac:dyDescent="0.25">
      <c r="A637" s="24" t="s">
        <v>1027</v>
      </c>
      <c r="B637" s="24" t="s">
        <v>324</v>
      </c>
      <c r="C637" s="24" t="s">
        <v>324</v>
      </c>
      <c r="D637" s="24">
        <v>512904</v>
      </c>
      <c r="E637" s="24" t="s">
        <v>373</v>
      </c>
      <c r="F637" s="24">
        <v>9699193686</v>
      </c>
      <c r="G637" s="24" t="s">
        <v>1032</v>
      </c>
    </row>
    <row r="638" spans="1:7" ht="15.75" hidden="1" customHeight="1" x14ac:dyDescent="0.25">
      <c r="A638" s="24" t="s">
        <v>1027</v>
      </c>
      <c r="B638" s="24" t="s">
        <v>332</v>
      </c>
      <c r="C638" s="24" t="s">
        <v>330</v>
      </c>
      <c r="D638" s="24">
        <v>611129</v>
      </c>
      <c r="E638" s="24" t="s">
        <v>373</v>
      </c>
      <c r="F638" s="24">
        <v>9699193686</v>
      </c>
      <c r="G638" s="24" t="s">
        <v>1033</v>
      </c>
    </row>
    <row r="639" spans="1:7" ht="15.75" hidden="1" customHeight="1" x14ac:dyDescent="0.25">
      <c r="A639" s="24" t="s">
        <v>1027</v>
      </c>
      <c r="B639" s="24" t="s">
        <v>333</v>
      </c>
      <c r="C639" s="24" t="s">
        <v>334</v>
      </c>
      <c r="D639" s="24">
        <v>612106</v>
      </c>
      <c r="E639" s="24" t="s">
        <v>373</v>
      </c>
      <c r="F639" s="24">
        <v>9699193686</v>
      </c>
      <c r="G639" s="24" t="s">
        <v>1034</v>
      </c>
    </row>
    <row r="640" spans="1:7" ht="15.75" hidden="1" customHeight="1" x14ac:dyDescent="0.25">
      <c r="A640" s="24" t="s">
        <v>1027</v>
      </c>
      <c r="B640" s="24" t="s">
        <v>336</v>
      </c>
      <c r="C640" s="24" t="s">
        <v>336</v>
      </c>
      <c r="D640" s="24">
        <v>512883</v>
      </c>
      <c r="E640" s="24" t="s">
        <v>373</v>
      </c>
      <c r="F640" s="24">
        <v>9699193686</v>
      </c>
      <c r="G640" s="24" t="s">
        <v>1035</v>
      </c>
    </row>
    <row r="641" spans="1:7" ht="15.75" hidden="1" customHeight="1" x14ac:dyDescent="0.25">
      <c r="A641" s="24" t="s">
        <v>1027</v>
      </c>
      <c r="B641" s="24" t="s">
        <v>338</v>
      </c>
      <c r="C641" s="24" t="s">
        <v>338</v>
      </c>
      <c r="D641" s="24">
        <v>512908</v>
      </c>
      <c r="E641" s="24" t="s">
        <v>373</v>
      </c>
      <c r="F641" s="24">
        <v>9699193686</v>
      </c>
      <c r="G641" s="24" t="s">
        <v>1036</v>
      </c>
    </row>
    <row r="642" spans="1:7" ht="15.75" hidden="1" customHeight="1" x14ac:dyDescent="0.25">
      <c r="A642" s="24" t="s">
        <v>1027</v>
      </c>
      <c r="B642" s="24" t="s">
        <v>340</v>
      </c>
      <c r="C642" s="24" t="s">
        <v>340</v>
      </c>
      <c r="D642" s="24">
        <v>512903</v>
      </c>
      <c r="E642" s="24" t="s">
        <v>373</v>
      </c>
      <c r="F642" s="24">
        <v>9699193686</v>
      </c>
      <c r="G642" s="24" t="s">
        <v>1037</v>
      </c>
    </row>
    <row r="643" spans="1:7" ht="15.75" hidden="1" customHeight="1" x14ac:dyDescent="0.25">
      <c r="A643" s="24" t="s">
        <v>1027</v>
      </c>
      <c r="B643" s="24" t="s">
        <v>342</v>
      </c>
      <c r="C643" s="24" t="s">
        <v>342</v>
      </c>
      <c r="D643" s="24">
        <v>512903</v>
      </c>
      <c r="E643" s="24" t="s">
        <v>373</v>
      </c>
      <c r="F643" s="24">
        <v>9699193686</v>
      </c>
      <c r="G643" s="24" t="s">
        <v>1038</v>
      </c>
    </row>
    <row r="644" spans="1:7" ht="15.75" hidden="1" customHeight="1" x14ac:dyDescent="0.25">
      <c r="A644" s="24" t="s">
        <v>1027</v>
      </c>
      <c r="B644" s="24" t="s">
        <v>344</v>
      </c>
      <c r="C644" s="24" t="s">
        <v>345</v>
      </c>
      <c r="D644" s="24">
        <v>512985</v>
      </c>
      <c r="E644" s="24" t="s">
        <v>373</v>
      </c>
      <c r="F644" s="24">
        <v>9699193686</v>
      </c>
      <c r="G644" s="24" t="s">
        <v>1039</v>
      </c>
    </row>
    <row r="645" spans="1:7" ht="15.75" hidden="1" customHeight="1" x14ac:dyDescent="0.25">
      <c r="A645" s="24" t="s">
        <v>1027</v>
      </c>
      <c r="B645" s="24" t="s">
        <v>347</v>
      </c>
      <c r="C645" s="24" t="s">
        <v>348</v>
      </c>
      <c r="D645" s="24">
        <v>512884</v>
      </c>
      <c r="E645" s="24" t="s">
        <v>373</v>
      </c>
      <c r="F645" s="24">
        <v>9699193686</v>
      </c>
      <c r="G645" s="24" t="s">
        <v>1040</v>
      </c>
    </row>
    <row r="646" spans="1:7" ht="15.75" hidden="1" customHeight="1" x14ac:dyDescent="0.25">
      <c r="A646" s="24" t="s">
        <v>1027</v>
      </c>
      <c r="B646" s="24" t="s">
        <v>350</v>
      </c>
      <c r="C646" s="24" t="s">
        <v>351</v>
      </c>
      <c r="D646" s="24">
        <v>512902</v>
      </c>
      <c r="E646" s="24" t="s">
        <v>373</v>
      </c>
      <c r="F646" s="24">
        <v>9699193686</v>
      </c>
      <c r="G646" s="24" t="s">
        <v>1041</v>
      </c>
    </row>
    <row r="647" spans="1:7" ht="15.75" hidden="1" customHeight="1" x14ac:dyDescent="0.25">
      <c r="A647" s="24" t="s">
        <v>1027</v>
      </c>
      <c r="B647" s="24" t="s">
        <v>353</v>
      </c>
      <c r="C647" s="24" t="s">
        <v>353</v>
      </c>
      <c r="D647" s="24">
        <v>512885</v>
      </c>
      <c r="E647" s="24" t="s">
        <v>373</v>
      </c>
      <c r="F647" s="24">
        <v>9699193686</v>
      </c>
      <c r="G647" s="24" t="s">
        <v>1042</v>
      </c>
    </row>
    <row r="648" spans="1:7" ht="15.75" hidden="1" customHeight="1" x14ac:dyDescent="0.25">
      <c r="A648" s="24" t="s">
        <v>1027</v>
      </c>
      <c r="B648" s="24" t="s">
        <v>862</v>
      </c>
      <c r="C648" s="24" t="s">
        <v>863</v>
      </c>
      <c r="D648" s="24">
        <v>612105</v>
      </c>
      <c r="E648" s="24" t="s">
        <v>373</v>
      </c>
      <c r="F648" s="24">
        <v>9699193686</v>
      </c>
      <c r="G648" s="24" t="s">
        <v>1043</v>
      </c>
    </row>
    <row r="649" spans="1:7" ht="15.75" hidden="1" customHeight="1" x14ac:dyDescent="0.25">
      <c r="A649" s="24" t="s">
        <v>1027</v>
      </c>
      <c r="B649" s="24" t="s">
        <v>452</v>
      </c>
      <c r="C649" s="24" t="s">
        <v>453</v>
      </c>
      <c r="D649" s="24">
        <v>512916</v>
      </c>
      <c r="E649" s="24" t="s">
        <v>373</v>
      </c>
      <c r="F649" s="24">
        <v>9699193686</v>
      </c>
      <c r="G649" s="24" t="s">
        <v>1044</v>
      </c>
    </row>
    <row r="650" spans="1:7" ht="15.75" hidden="1" customHeight="1" x14ac:dyDescent="0.25">
      <c r="A650" s="24" t="s">
        <v>1027</v>
      </c>
      <c r="B650" s="24" t="s">
        <v>822</v>
      </c>
      <c r="C650" s="24" t="s">
        <v>823</v>
      </c>
      <c r="D650" s="24">
        <v>612105</v>
      </c>
      <c r="E650" s="24" t="s">
        <v>373</v>
      </c>
      <c r="F650" s="24">
        <v>9699193686</v>
      </c>
      <c r="G650" s="24" t="s">
        <v>1045</v>
      </c>
    </row>
    <row r="651" spans="1:7" ht="15.75" hidden="1" customHeight="1" x14ac:dyDescent="0.25">
      <c r="A651" s="24" t="s">
        <v>1027</v>
      </c>
      <c r="B651" s="24" t="s">
        <v>949</v>
      </c>
      <c r="C651" s="24" t="s">
        <v>823</v>
      </c>
      <c r="D651" s="24">
        <v>612105</v>
      </c>
      <c r="E651" s="24" t="s">
        <v>373</v>
      </c>
      <c r="F651" s="24">
        <v>9699193686</v>
      </c>
      <c r="G651" s="24" t="s">
        <v>1046</v>
      </c>
    </row>
    <row r="652" spans="1:7" ht="15.75" hidden="1" customHeight="1" x14ac:dyDescent="0.25">
      <c r="A652" s="24" t="s">
        <v>1027</v>
      </c>
      <c r="B652" s="24" t="s">
        <v>851</v>
      </c>
      <c r="C652" s="24" t="s">
        <v>852</v>
      </c>
      <c r="D652" s="24">
        <v>612105</v>
      </c>
      <c r="E652" s="24" t="s">
        <v>373</v>
      </c>
      <c r="F652" s="24">
        <v>9699193686</v>
      </c>
      <c r="G652" s="24" t="s">
        <v>1046</v>
      </c>
    </row>
    <row r="653" spans="1:7" ht="15.75" hidden="1" customHeight="1" x14ac:dyDescent="0.25">
      <c r="A653" s="24" t="s">
        <v>1047</v>
      </c>
      <c r="B653" s="24" t="s">
        <v>313</v>
      </c>
      <c r="C653" s="24" t="s">
        <v>314</v>
      </c>
      <c r="D653" s="24">
        <v>612105</v>
      </c>
      <c r="E653" s="24" t="s">
        <v>373</v>
      </c>
      <c r="F653" s="24">
        <v>9699193686</v>
      </c>
      <c r="G653" s="24" t="s">
        <v>1048</v>
      </c>
    </row>
    <row r="654" spans="1:7" ht="15.75" hidden="1" customHeight="1" x14ac:dyDescent="0.25">
      <c r="A654" s="24" t="s">
        <v>1047</v>
      </c>
      <c r="B654" s="24" t="s">
        <v>317</v>
      </c>
      <c r="C654" s="24" t="s">
        <v>318</v>
      </c>
      <c r="D654" s="24">
        <v>612105</v>
      </c>
      <c r="E654" s="24" t="s">
        <v>373</v>
      </c>
      <c r="F654" s="24">
        <v>9699193686</v>
      </c>
      <c r="G654" s="24" t="s">
        <v>1049</v>
      </c>
    </row>
    <row r="655" spans="1:7" ht="15.75" hidden="1" customHeight="1" x14ac:dyDescent="0.25">
      <c r="A655" s="24" t="s">
        <v>1047</v>
      </c>
      <c r="B655" s="24" t="s">
        <v>320</v>
      </c>
      <c r="C655" s="24" t="s">
        <v>320</v>
      </c>
      <c r="D655" s="24">
        <v>611128</v>
      </c>
      <c r="E655" s="24" t="s">
        <v>373</v>
      </c>
      <c r="F655" s="24">
        <v>9699193686</v>
      </c>
      <c r="G655" s="24" t="s">
        <v>1050</v>
      </c>
    </row>
    <row r="656" spans="1:7" ht="15.75" hidden="1" customHeight="1" x14ac:dyDescent="0.25">
      <c r="A656" s="24" t="s">
        <v>1047</v>
      </c>
      <c r="B656" s="24" t="s">
        <v>322</v>
      </c>
      <c r="C656" s="24" t="s">
        <v>322</v>
      </c>
      <c r="D656" s="24">
        <v>611129</v>
      </c>
      <c r="E656" s="24" t="s">
        <v>373</v>
      </c>
      <c r="F656" s="24">
        <v>9699193686</v>
      </c>
      <c r="G656" s="24" t="s">
        <v>1051</v>
      </c>
    </row>
    <row r="657" spans="1:7" ht="15.75" hidden="1" customHeight="1" x14ac:dyDescent="0.25">
      <c r="A657" s="24" t="s">
        <v>1047</v>
      </c>
      <c r="B657" s="24" t="s">
        <v>324</v>
      </c>
      <c r="C657" s="24" t="s">
        <v>324</v>
      </c>
      <c r="D657" s="24">
        <v>512904</v>
      </c>
      <c r="E657" s="24" t="s">
        <v>373</v>
      </c>
      <c r="F657" s="24">
        <v>9699193686</v>
      </c>
      <c r="G657" s="24" t="s">
        <v>1052</v>
      </c>
    </row>
    <row r="658" spans="1:7" ht="15.75" hidden="1" customHeight="1" x14ac:dyDescent="0.25">
      <c r="A658" s="24" t="s">
        <v>1047</v>
      </c>
      <c r="B658" s="24" t="s">
        <v>332</v>
      </c>
      <c r="C658" s="24" t="s">
        <v>330</v>
      </c>
      <c r="D658" s="24">
        <v>611129</v>
      </c>
      <c r="E658" s="24" t="s">
        <v>373</v>
      </c>
      <c r="F658" s="24">
        <v>9699193686</v>
      </c>
      <c r="G658" s="24" t="s">
        <v>1053</v>
      </c>
    </row>
    <row r="659" spans="1:7" ht="15.75" hidden="1" customHeight="1" x14ac:dyDescent="0.25">
      <c r="A659" s="24" t="s">
        <v>1047</v>
      </c>
      <c r="B659" s="24" t="s">
        <v>333</v>
      </c>
      <c r="C659" s="24" t="s">
        <v>334</v>
      </c>
      <c r="D659" s="24">
        <v>612106</v>
      </c>
      <c r="E659" s="24" t="s">
        <v>373</v>
      </c>
      <c r="F659" s="24">
        <v>9699193686</v>
      </c>
      <c r="G659" s="24" t="s">
        <v>1054</v>
      </c>
    </row>
    <row r="660" spans="1:7" ht="15.75" hidden="1" customHeight="1" x14ac:dyDescent="0.25">
      <c r="A660" s="24" t="s">
        <v>1047</v>
      </c>
      <c r="B660" s="24" t="s">
        <v>336</v>
      </c>
      <c r="C660" s="24" t="s">
        <v>336</v>
      </c>
      <c r="D660" s="24">
        <v>512883</v>
      </c>
      <c r="E660" s="24" t="s">
        <v>373</v>
      </c>
      <c r="F660" s="24">
        <v>9699193686</v>
      </c>
      <c r="G660" s="24" t="s">
        <v>1055</v>
      </c>
    </row>
    <row r="661" spans="1:7" ht="15.75" hidden="1" customHeight="1" x14ac:dyDescent="0.25">
      <c r="A661" s="24" t="s">
        <v>1047</v>
      </c>
      <c r="B661" s="24" t="s">
        <v>338</v>
      </c>
      <c r="C661" s="24" t="s">
        <v>338</v>
      </c>
      <c r="D661" s="24">
        <v>512908</v>
      </c>
      <c r="E661" s="24" t="s">
        <v>373</v>
      </c>
      <c r="F661" s="24">
        <v>9699193686</v>
      </c>
      <c r="G661" s="24" t="s">
        <v>1056</v>
      </c>
    </row>
    <row r="662" spans="1:7" ht="15.75" hidden="1" customHeight="1" x14ac:dyDescent="0.25">
      <c r="A662" s="24" t="s">
        <v>1047</v>
      </c>
      <c r="B662" s="24" t="s">
        <v>340</v>
      </c>
      <c r="C662" s="24" t="s">
        <v>340</v>
      </c>
      <c r="D662" s="24">
        <v>512903</v>
      </c>
      <c r="E662" s="24" t="s">
        <v>373</v>
      </c>
      <c r="F662" s="24">
        <v>9699193686</v>
      </c>
      <c r="G662" s="24" t="s">
        <v>1057</v>
      </c>
    </row>
    <row r="663" spans="1:7" ht="15.75" hidden="1" customHeight="1" x14ac:dyDescent="0.25">
      <c r="A663" s="24" t="s">
        <v>1047</v>
      </c>
      <c r="B663" s="24" t="s">
        <v>342</v>
      </c>
      <c r="C663" s="24" t="s">
        <v>342</v>
      </c>
      <c r="D663" s="24">
        <v>512903</v>
      </c>
      <c r="E663" s="24" t="s">
        <v>373</v>
      </c>
      <c r="F663" s="24">
        <v>9699193686</v>
      </c>
      <c r="G663" s="24" t="s">
        <v>1058</v>
      </c>
    </row>
    <row r="664" spans="1:7" ht="15.75" hidden="1" customHeight="1" x14ac:dyDescent="0.25">
      <c r="A664" s="24" t="s">
        <v>1047</v>
      </c>
      <c r="B664" s="24" t="s">
        <v>344</v>
      </c>
      <c r="C664" s="24" t="s">
        <v>345</v>
      </c>
      <c r="D664" s="24">
        <v>512985</v>
      </c>
      <c r="E664" s="24" t="s">
        <v>373</v>
      </c>
      <c r="F664" s="24">
        <v>9699193686</v>
      </c>
      <c r="G664" s="24" t="s">
        <v>1059</v>
      </c>
    </row>
    <row r="665" spans="1:7" ht="15.75" hidden="1" customHeight="1" x14ac:dyDescent="0.25">
      <c r="A665" s="24" t="s">
        <v>1047</v>
      </c>
      <c r="B665" s="24" t="s">
        <v>434</v>
      </c>
      <c r="C665" s="24" t="s">
        <v>348</v>
      </c>
      <c r="D665" s="24">
        <v>512884</v>
      </c>
      <c r="E665" s="24" t="s">
        <v>373</v>
      </c>
      <c r="F665" s="24">
        <v>9699193686</v>
      </c>
      <c r="G665" s="24" t="s">
        <v>1060</v>
      </c>
    </row>
    <row r="666" spans="1:7" ht="15.75" hidden="1" customHeight="1" x14ac:dyDescent="0.25">
      <c r="A666" s="24" t="s">
        <v>1047</v>
      </c>
      <c r="B666" s="24" t="s">
        <v>350</v>
      </c>
      <c r="C666" s="24" t="s">
        <v>351</v>
      </c>
      <c r="D666" s="24">
        <v>512902</v>
      </c>
      <c r="E666" s="24" t="s">
        <v>373</v>
      </c>
      <c r="F666" s="24">
        <v>9699193686</v>
      </c>
      <c r="G666" s="24" t="s">
        <v>1061</v>
      </c>
    </row>
    <row r="667" spans="1:7" ht="15.75" hidden="1" customHeight="1" x14ac:dyDescent="0.25">
      <c r="A667" s="24" t="s">
        <v>1047</v>
      </c>
      <c r="B667" s="24" t="s">
        <v>353</v>
      </c>
      <c r="C667" s="24" t="s">
        <v>353</v>
      </c>
      <c r="D667" s="24">
        <v>512885</v>
      </c>
      <c r="E667" s="24" t="s">
        <v>373</v>
      </c>
      <c r="F667" s="24">
        <v>9699193686</v>
      </c>
      <c r="G667" s="24" t="s">
        <v>1062</v>
      </c>
    </row>
    <row r="668" spans="1:7" ht="15.75" hidden="1" customHeight="1" x14ac:dyDescent="0.25">
      <c r="A668" s="24" t="s">
        <v>34</v>
      </c>
      <c r="B668" s="24" t="s">
        <v>313</v>
      </c>
      <c r="C668" s="24" t="s">
        <v>314</v>
      </c>
      <c r="D668" s="24">
        <v>612105</v>
      </c>
      <c r="E668" s="24" t="s">
        <v>373</v>
      </c>
      <c r="F668" s="24">
        <v>9699193686</v>
      </c>
      <c r="G668" s="24" t="s">
        <v>439</v>
      </c>
    </row>
    <row r="669" spans="1:7" ht="15.75" hidden="1" customHeight="1" x14ac:dyDescent="0.25">
      <c r="A669" s="24" t="s">
        <v>34</v>
      </c>
      <c r="B669" s="24" t="s">
        <v>317</v>
      </c>
      <c r="C669" s="24" t="s">
        <v>318</v>
      </c>
      <c r="D669" s="24">
        <v>612105</v>
      </c>
      <c r="E669" s="24" t="s">
        <v>373</v>
      </c>
      <c r="F669" s="24">
        <v>9699193686</v>
      </c>
      <c r="G669" s="24" t="s">
        <v>440</v>
      </c>
    </row>
    <row r="670" spans="1:7" ht="15.75" hidden="1" customHeight="1" x14ac:dyDescent="0.25">
      <c r="A670" s="24" t="s">
        <v>34</v>
      </c>
      <c r="B670" s="24" t="s">
        <v>320</v>
      </c>
      <c r="C670" s="24" t="s">
        <v>320</v>
      </c>
      <c r="D670" s="24">
        <v>611128</v>
      </c>
      <c r="E670" s="24" t="s">
        <v>373</v>
      </c>
      <c r="F670" s="24">
        <v>9699193686</v>
      </c>
      <c r="G670" s="24" t="s">
        <v>441</v>
      </c>
    </row>
    <row r="671" spans="1:7" ht="15.75" hidden="1" customHeight="1" x14ac:dyDescent="0.25">
      <c r="A671" s="24" t="s">
        <v>34</v>
      </c>
      <c r="B671" s="24" t="s">
        <v>322</v>
      </c>
      <c r="C671" s="24" t="s">
        <v>322</v>
      </c>
      <c r="D671" s="24">
        <v>611129</v>
      </c>
      <c r="E671" s="24" t="s">
        <v>373</v>
      </c>
      <c r="F671" s="24">
        <v>9699193686</v>
      </c>
      <c r="G671" s="24" t="s">
        <v>442</v>
      </c>
    </row>
    <row r="672" spans="1:7" ht="15.75" hidden="1" customHeight="1" x14ac:dyDescent="0.25">
      <c r="A672" s="24" t="s">
        <v>34</v>
      </c>
      <c r="B672" s="24" t="s">
        <v>324</v>
      </c>
      <c r="C672" s="24" t="s">
        <v>324</v>
      </c>
      <c r="D672" s="24">
        <v>512904</v>
      </c>
      <c r="E672" s="24" t="s">
        <v>373</v>
      </c>
      <c r="F672" s="24">
        <v>9699193686</v>
      </c>
      <c r="G672" s="24" t="s">
        <v>443</v>
      </c>
    </row>
    <row r="673" spans="1:7" ht="15.75" hidden="1" customHeight="1" x14ac:dyDescent="0.25">
      <c r="A673" s="24" t="s">
        <v>34</v>
      </c>
      <c r="B673" s="24" t="s">
        <v>332</v>
      </c>
      <c r="C673" s="24" t="s">
        <v>330</v>
      </c>
      <c r="D673" s="24">
        <v>611129</v>
      </c>
      <c r="E673" s="24" t="s">
        <v>373</v>
      </c>
      <c r="F673" s="24">
        <v>9699193686</v>
      </c>
      <c r="G673" s="24" t="s">
        <v>444</v>
      </c>
    </row>
    <row r="674" spans="1:7" ht="15.75" hidden="1" customHeight="1" x14ac:dyDescent="0.25">
      <c r="A674" s="24" t="s">
        <v>34</v>
      </c>
      <c r="B674" s="24" t="s">
        <v>333</v>
      </c>
      <c r="C674" s="24" t="s">
        <v>334</v>
      </c>
      <c r="D674" s="24">
        <v>612106</v>
      </c>
      <c r="E674" s="24" t="s">
        <v>373</v>
      </c>
      <c r="F674" s="24">
        <v>9699193686</v>
      </c>
      <c r="G674" s="24" t="s">
        <v>445</v>
      </c>
    </row>
    <row r="675" spans="1:7" ht="15.75" hidden="1" customHeight="1" x14ac:dyDescent="0.25">
      <c r="A675" s="24" t="s">
        <v>34</v>
      </c>
      <c r="B675" s="24" t="s">
        <v>336</v>
      </c>
      <c r="C675" s="24" t="s">
        <v>336</v>
      </c>
      <c r="D675" s="24">
        <v>512883</v>
      </c>
      <c r="E675" s="24" t="s">
        <v>373</v>
      </c>
      <c r="F675" s="24">
        <v>9699193686</v>
      </c>
      <c r="G675" s="24" t="s">
        <v>446</v>
      </c>
    </row>
    <row r="676" spans="1:7" ht="15.75" hidden="1" customHeight="1" x14ac:dyDescent="0.25">
      <c r="A676" s="24" t="s">
        <v>34</v>
      </c>
      <c r="B676" s="24" t="s">
        <v>338</v>
      </c>
      <c r="C676" s="24" t="s">
        <v>338</v>
      </c>
      <c r="D676" s="24">
        <v>512908</v>
      </c>
      <c r="E676" s="24" t="s">
        <v>373</v>
      </c>
      <c r="F676" s="24">
        <v>9699193686</v>
      </c>
      <c r="G676" s="24" t="s">
        <v>447</v>
      </c>
    </row>
    <row r="677" spans="1:7" ht="15.75" hidden="1" customHeight="1" x14ac:dyDescent="0.25">
      <c r="A677" s="24" t="s">
        <v>34</v>
      </c>
      <c r="B677" s="24" t="s">
        <v>340</v>
      </c>
      <c r="C677" s="24" t="s">
        <v>340</v>
      </c>
      <c r="D677" s="24">
        <v>512903</v>
      </c>
      <c r="E677" s="24" t="s">
        <v>373</v>
      </c>
      <c r="F677" s="24">
        <v>9699193686</v>
      </c>
      <c r="G677" s="24" t="s">
        <v>448</v>
      </c>
    </row>
    <row r="678" spans="1:7" ht="15.75" hidden="1" customHeight="1" x14ac:dyDescent="0.25">
      <c r="A678" s="24" t="s">
        <v>34</v>
      </c>
      <c r="B678" s="24" t="s">
        <v>342</v>
      </c>
      <c r="C678" s="24" t="s">
        <v>342</v>
      </c>
      <c r="D678" s="24">
        <v>512903</v>
      </c>
      <c r="E678" s="24" t="s">
        <v>373</v>
      </c>
      <c r="F678" s="24">
        <v>9699193686</v>
      </c>
      <c r="G678" s="24" t="s">
        <v>449</v>
      </c>
    </row>
    <row r="679" spans="1:7" ht="15.75" hidden="1" customHeight="1" x14ac:dyDescent="0.25">
      <c r="A679" s="24" t="s">
        <v>34</v>
      </c>
      <c r="B679" s="24" t="s">
        <v>344</v>
      </c>
      <c r="C679" s="24" t="s">
        <v>345</v>
      </c>
      <c r="D679" s="24">
        <v>512985</v>
      </c>
      <c r="E679" s="24" t="s">
        <v>373</v>
      </c>
      <c r="F679" s="24">
        <v>9699193686</v>
      </c>
      <c r="G679" s="24" t="s">
        <v>450</v>
      </c>
    </row>
    <row r="680" spans="1:7" ht="15.75" hidden="1" customHeight="1" x14ac:dyDescent="0.25">
      <c r="A680" s="24" t="s">
        <v>34</v>
      </c>
      <c r="B680" s="24" t="s">
        <v>434</v>
      </c>
      <c r="C680" s="24" t="s">
        <v>348</v>
      </c>
      <c r="D680" s="24">
        <v>512884</v>
      </c>
      <c r="E680" s="24" t="s">
        <v>373</v>
      </c>
      <c r="F680" s="24">
        <v>9699193686</v>
      </c>
      <c r="G680" s="24" t="s">
        <v>451</v>
      </c>
    </row>
    <row r="681" spans="1:7" ht="15.75" hidden="1" customHeight="1" x14ac:dyDescent="0.25">
      <c r="A681" s="24" t="s">
        <v>34</v>
      </c>
      <c r="B681" s="24" t="s">
        <v>452</v>
      </c>
      <c r="C681" s="24" t="s">
        <v>453</v>
      </c>
      <c r="D681" s="24">
        <v>512916</v>
      </c>
      <c r="E681" s="24" t="s">
        <v>373</v>
      </c>
      <c r="F681" s="24">
        <v>9699193686</v>
      </c>
      <c r="G681" s="24" t="s">
        <v>454</v>
      </c>
    </row>
    <row r="682" spans="1:7" ht="15.75" hidden="1" customHeight="1" x14ac:dyDescent="0.25">
      <c r="A682" s="24" t="s">
        <v>34</v>
      </c>
      <c r="B682" s="24" t="s">
        <v>455</v>
      </c>
      <c r="C682" s="24" t="s">
        <v>453</v>
      </c>
      <c r="D682" s="24">
        <v>512916</v>
      </c>
      <c r="E682" s="24" t="s">
        <v>373</v>
      </c>
      <c r="F682" s="24">
        <v>9699193686</v>
      </c>
      <c r="G682" s="24" t="s">
        <v>454</v>
      </c>
    </row>
    <row r="683" spans="1:7" ht="15.75" hidden="1" customHeight="1" x14ac:dyDescent="0.25">
      <c r="A683" s="24" t="s">
        <v>34</v>
      </c>
      <c r="B683" s="24" t="s">
        <v>350</v>
      </c>
      <c r="C683" s="24" t="s">
        <v>351</v>
      </c>
      <c r="D683" s="24">
        <v>512902</v>
      </c>
      <c r="E683" s="24" t="s">
        <v>373</v>
      </c>
      <c r="F683" s="24">
        <v>9699193686</v>
      </c>
      <c r="G683" s="24" t="s">
        <v>456</v>
      </c>
    </row>
    <row r="684" spans="1:7" ht="15.75" hidden="1" customHeight="1" x14ac:dyDescent="0.25">
      <c r="A684" s="24" t="s">
        <v>34</v>
      </c>
      <c r="B684" s="24" t="s">
        <v>353</v>
      </c>
      <c r="C684" s="24" t="s">
        <v>353</v>
      </c>
      <c r="D684" s="24">
        <v>512885</v>
      </c>
      <c r="E684" s="24" t="s">
        <v>373</v>
      </c>
      <c r="F684" s="24">
        <v>9699193686</v>
      </c>
      <c r="G684" s="24" t="s">
        <v>457</v>
      </c>
    </row>
    <row r="685" spans="1:7" ht="15.75" hidden="1" customHeight="1" x14ac:dyDescent="0.25">
      <c r="A685" s="24" t="s">
        <v>34</v>
      </c>
      <c r="B685" s="24" t="s">
        <v>851</v>
      </c>
      <c r="C685" s="24" t="s">
        <v>852</v>
      </c>
      <c r="D685" s="24">
        <v>612105</v>
      </c>
      <c r="E685" s="24" t="s">
        <v>373</v>
      </c>
      <c r="F685" s="24">
        <v>9699193686</v>
      </c>
      <c r="G685" s="24" t="s">
        <v>860</v>
      </c>
    </row>
    <row r="686" spans="1:7" ht="15.75" hidden="1" customHeight="1" x14ac:dyDescent="0.25">
      <c r="A686" s="24" t="s">
        <v>34</v>
      </c>
      <c r="B686" s="24" t="s">
        <v>862</v>
      </c>
      <c r="C686" s="24" t="s">
        <v>863</v>
      </c>
      <c r="D686" s="24">
        <v>612105</v>
      </c>
      <c r="E686" s="24" t="s">
        <v>373</v>
      </c>
      <c r="F686" s="24">
        <v>9699193686</v>
      </c>
      <c r="G686" s="24" t="s">
        <v>870</v>
      </c>
    </row>
    <row r="687" spans="1:7" ht="15.75" hidden="1" customHeight="1" x14ac:dyDescent="0.25">
      <c r="A687" s="24" t="s">
        <v>34</v>
      </c>
      <c r="B687" s="24" t="s">
        <v>455</v>
      </c>
      <c r="C687" s="24" t="s">
        <v>453</v>
      </c>
      <c r="D687" s="24">
        <v>512916</v>
      </c>
      <c r="E687" s="24" t="s">
        <v>373</v>
      </c>
      <c r="F687" s="24">
        <v>9699193686</v>
      </c>
      <c r="G687" s="24" t="s">
        <v>951</v>
      </c>
    </row>
    <row r="688" spans="1:7" ht="15.75" hidden="1" customHeight="1" x14ac:dyDescent="0.25">
      <c r="A688" s="24" t="s">
        <v>34</v>
      </c>
      <c r="B688" s="24" t="s">
        <v>822</v>
      </c>
      <c r="C688" s="24" t="s">
        <v>823</v>
      </c>
      <c r="D688" s="24">
        <v>612105</v>
      </c>
      <c r="E688" s="24" t="s">
        <v>373</v>
      </c>
      <c r="F688" s="24">
        <v>9699193686</v>
      </c>
      <c r="G688" s="24" t="s">
        <v>952</v>
      </c>
    </row>
    <row r="689" spans="1:7" ht="15.75" hidden="1" customHeight="1" x14ac:dyDescent="0.25">
      <c r="A689" s="24" t="s">
        <v>34</v>
      </c>
      <c r="B689" s="24" t="s">
        <v>953</v>
      </c>
      <c r="C689" s="24" t="s">
        <v>320</v>
      </c>
      <c r="D689" s="24">
        <v>611128</v>
      </c>
      <c r="E689" s="24" t="s">
        <v>373</v>
      </c>
      <c r="F689" s="24">
        <v>9699193686</v>
      </c>
      <c r="G689" s="24" t="s">
        <v>441</v>
      </c>
    </row>
    <row r="690" spans="1:7" ht="15.75" hidden="1" customHeight="1" x14ac:dyDescent="0.25">
      <c r="A690" s="25" t="s">
        <v>312</v>
      </c>
      <c r="B690" s="24" t="s">
        <v>946</v>
      </c>
      <c r="C690" s="24" t="s">
        <v>453</v>
      </c>
      <c r="D690" s="24">
        <v>512916</v>
      </c>
      <c r="E690" s="24" t="s">
        <v>315</v>
      </c>
      <c r="F690" s="24">
        <v>9699193686</v>
      </c>
      <c r="G690" s="24" t="s">
        <v>1063</v>
      </c>
    </row>
    <row r="691" spans="1:7" ht="15.75" hidden="1" customHeight="1" x14ac:dyDescent="0.25">
      <c r="A691" s="25" t="s">
        <v>312</v>
      </c>
      <c r="B691" s="24" t="s">
        <v>822</v>
      </c>
      <c r="C691" s="24" t="s">
        <v>823</v>
      </c>
      <c r="D691" s="24">
        <v>612105</v>
      </c>
      <c r="E691" s="24" t="s">
        <v>315</v>
      </c>
      <c r="F691" s="24">
        <v>9699193686</v>
      </c>
      <c r="G691" s="24" t="s">
        <v>1064</v>
      </c>
    </row>
    <row r="692" spans="1:7" ht="15.75" hidden="1" customHeight="1" x14ac:dyDescent="0.25">
      <c r="A692" s="28" t="s">
        <v>355</v>
      </c>
      <c r="B692" s="24" t="s">
        <v>452</v>
      </c>
      <c r="C692" s="24" t="s">
        <v>453</v>
      </c>
      <c r="D692" s="24">
        <v>512916</v>
      </c>
      <c r="E692" s="24" t="s">
        <v>356</v>
      </c>
      <c r="F692" s="24">
        <v>9699193686</v>
      </c>
      <c r="G692" s="24" t="s">
        <v>1065</v>
      </c>
    </row>
    <row r="693" spans="1:7" ht="15.75" hidden="1" customHeight="1" x14ac:dyDescent="0.25">
      <c r="A693" s="28" t="s">
        <v>355</v>
      </c>
      <c r="B693" s="24" t="s">
        <v>822</v>
      </c>
      <c r="C693" s="24" t="s">
        <v>823</v>
      </c>
      <c r="D693" s="24">
        <v>612105</v>
      </c>
      <c r="E693" s="24" t="s">
        <v>356</v>
      </c>
      <c r="F693" s="24">
        <v>9699193686</v>
      </c>
      <c r="G693" s="24" t="s">
        <v>865</v>
      </c>
    </row>
    <row r="694" spans="1:7" ht="15.75" hidden="1" customHeight="1" x14ac:dyDescent="0.25">
      <c r="A694" s="28" t="s">
        <v>355</v>
      </c>
      <c r="B694" s="24" t="s">
        <v>1066</v>
      </c>
      <c r="C694" s="24" t="s">
        <v>823</v>
      </c>
      <c r="D694" s="24">
        <v>612105</v>
      </c>
      <c r="E694" s="24" t="s">
        <v>356</v>
      </c>
      <c r="F694" s="24">
        <v>9699193686</v>
      </c>
      <c r="G694" s="24" t="s">
        <v>865</v>
      </c>
    </row>
    <row r="695" spans="1:7" ht="15.75" hidden="1" customHeight="1" x14ac:dyDescent="0.25">
      <c r="A695" s="24" t="s">
        <v>312</v>
      </c>
      <c r="B695" s="24" t="s">
        <v>1066</v>
      </c>
      <c r="C695" s="24" t="s">
        <v>823</v>
      </c>
      <c r="D695" s="24">
        <v>612105</v>
      </c>
      <c r="E695" s="24" t="s">
        <v>315</v>
      </c>
      <c r="F695" s="24">
        <v>9699193686</v>
      </c>
      <c r="G695" s="24" t="s">
        <v>1064</v>
      </c>
    </row>
    <row r="696" spans="1:7" ht="15.75" hidden="1" customHeight="1" x14ac:dyDescent="0.25">
      <c r="A696" s="31" t="s">
        <v>405</v>
      </c>
      <c r="B696" s="24" t="s">
        <v>452</v>
      </c>
      <c r="C696" s="24" t="s">
        <v>453</v>
      </c>
      <c r="D696" s="24">
        <v>512916</v>
      </c>
      <c r="E696" s="24" t="s">
        <v>373</v>
      </c>
      <c r="F696" s="24">
        <v>9699193686</v>
      </c>
      <c r="G696" s="24" t="s">
        <v>1067</v>
      </c>
    </row>
    <row r="697" spans="1:7" ht="15.75" hidden="1" customHeight="1" x14ac:dyDescent="0.25">
      <c r="A697" s="24" t="s">
        <v>405</v>
      </c>
      <c r="B697" s="24" t="s">
        <v>822</v>
      </c>
      <c r="C697" s="24" t="s">
        <v>823</v>
      </c>
      <c r="D697" s="24">
        <v>612105</v>
      </c>
      <c r="E697" s="24" t="s">
        <v>373</v>
      </c>
      <c r="F697" s="24">
        <v>9699193686</v>
      </c>
      <c r="G697" s="24" t="s">
        <v>1068</v>
      </c>
    </row>
    <row r="698" spans="1:7" ht="15.75" hidden="1" customHeight="1" x14ac:dyDescent="0.25">
      <c r="A698" s="31" t="s">
        <v>421</v>
      </c>
      <c r="B698" s="24" t="s">
        <v>452</v>
      </c>
      <c r="C698" s="24" t="s">
        <v>453</v>
      </c>
      <c r="D698" s="24">
        <v>512916</v>
      </c>
      <c r="E698" s="24" t="s">
        <v>373</v>
      </c>
      <c r="F698" s="24">
        <v>9699193686</v>
      </c>
      <c r="G698" s="24" t="s">
        <v>1069</v>
      </c>
    </row>
    <row r="699" spans="1:7" ht="15.75" hidden="1" customHeight="1" x14ac:dyDescent="0.25">
      <c r="A699" s="24" t="s">
        <v>421</v>
      </c>
      <c r="B699" s="24" t="s">
        <v>822</v>
      </c>
      <c r="C699" s="24" t="s">
        <v>823</v>
      </c>
      <c r="D699" s="24">
        <v>612105</v>
      </c>
      <c r="E699" s="24" t="s">
        <v>373</v>
      </c>
      <c r="F699" s="24">
        <v>9699193686</v>
      </c>
      <c r="G699" s="24" t="s">
        <v>1070</v>
      </c>
    </row>
    <row r="700" spans="1:7" ht="15.75" hidden="1" customHeight="1" x14ac:dyDescent="0.25">
      <c r="A700" s="24" t="s">
        <v>1071</v>
      </c>
      <c r="B700" s="24" t="s">
        <v>615</v>
      </c>
      <c r="C700" s="24" t="s">
        <v>616</v>
      </c>
      <c r="D700" s="24">
        <v>612105</v>
      </c>
      <c r="E700" s="24" t="s">
        <v>617</v>
      </c>
      <c r="F700" s="24">
        <v>9699193685</v>
      </c>
      <c r="G700" s="24" t="s">
        <v>1072</v>
      </c>
    </row>
    <row r="701" spans="1:7" ht="15.75" hidden="1" customHeight="1" x14ac:dyDescent="0.25">
      <c r="A701" s="24" t="s">
        <v>1071</v>
      </c>
      <c r="B701" s="24" t="s">
        <v>619</v>
      </c>
      <c r="C701" s="24" t="s">
        <v>616</v>
      </c>
      <c r="D701" s="24">
        <v>612105</v>
      </c>
      <c r="E701" s="24" t="s">
        <v>617</v>
      </c>
      <c r="F701" s="24">
        <v>9699193685</v>
      </c>
      <c r="G701" s="24" t="s">
        <v>1072</v>
      </c>
    </row>
    <row r="702" spans="1:7" ht="15.75" hidden="1" customHeight="1" x14ac:dyDescent="0.25">
      <c r="A702" s="24" t="s">
        <v>1071</v>
      </c>
      <c r="B702" s="24" t="s">
        <v>620</v>
      </c>
      <c r="C702" s="24" t="s">
        <v>616</v>
      </c>
      <c r="D702" s="24">
        <v>612105</v>
      </c>
      <c r="E702" s="24" t="s">
        <v>617</v>
      </c>
      <c r="F702" s="24">
        <v>9699193685</v>
      </c>
      <c r="G702" s="24" t="s">
        <v>1072</v>
      </c>
    </row>
    <row r="703" spans="1:7" ht="15.75" hidden="1" customHeight="1" x14ac:dyDescent="0.25">
      <c r="A703" s="24" t="s">
        <v>1071</v>
      </c>
      <c r="B703" s="24" t="s">
        <v>621</v>
      </c>
      <c r="C703" s="24" t="s">
        <v>616</v>
      </c>
      <c r="D703" s="24">
        <v>612105</v>
      </c>
      <c r="E703" s="24" t="s">
        <v>617</v>
      </c>
      <c r="F703" s="24">
        <v>9699193685</v>
      </c>
      <c r="G703" s="24" t="s">
        <v>1072</v>
      </c>
    </row>
    <row r="704" spans="1:7" ht="15.75" hidden="1" customHeight="1" x14ac:dyDescent="0.25">
      <c r="A704" s="24" t="s">
        <v>1071</v>
      </c>
      <c r="B704" s="24" t="s">
        <v>622</v>
      </c>
      <c r="C704" s="24" t="s">
        <v>616</v>
      </c>
      <c r="D704" s="24">
        <v>612105</v>
      </c>
      <c r="E704" s="24" t="s">
        <v>617</v>
      </c>
      <c r="F704" s="24">
        <v>9699193685</v>
      </c>
      <c r="G704" s="24" t="s">
        <v>1072</v>
      </c>
    </row>
    <row r="705" spans="1:7" ht="15.75" hidden="1" customHeight="1" x14ac:dyDescent="0.25">
      <c r="A705" s="24" t="s">
        <v>1071</v>
      </c>
      <c r="B705" s="24" t="s">
        <v>623</v>
      </c>
      <c r="C705" s="24" t="s">
        <v>616</v>
      </c>
      <c r="D705" s="24">
        <v>612105</v>
      </c>
      <c r="E705" s="24" t="s">
        <v>617</v>
      </c>
      <c r="F705" s="24">
        <v>9699193685</v>
      </c>
      <c r="G705" s="24" t="s">
        <v>1072</v>
      </c>
    </row>
    <row r="706" spans="1:7" ht="15.75" hidden="1" customHeight="1" x14ac:dyDescent="0.25">
      <c r="A706" s="24" t="s">
        <v>1071</v>
      </c>
      <c r="B706" s="24" t="s">
        <v>624</v>
      </c>
      <c r="C706" s="24" t="s">
        <v>616</v>
      </c>
      <c r="D706" s="24">
        <v>612105</v>
      </c>
      <c r="E706" s="24" t="s">
        <v>617</v>
      </c>
      <c r="F706" s="24">
        <v>9699193685</v>
      </c>
      <c r="G706" s="24" t="s">
        <v>1072</v>
      </c>
    </row>
    <row r="707" spans="1:7" ht="15.75" hidden="1" customHeight="1" x14ac:dyDescent="0.25">
      <c r="A707" s="24" t="s">
        <v>1071</v>
      </c>
      <c r="B707" s="24" t="s">
        <v>625</v>
      </c>
      <c r="C707" s="24" t="s">
        <v>626</v>
      </c>
      <c r="D707" s="24">
        <v>512901</v>
      </c>
      <c r="E707" s="24" t="s">
        <v>617</v>
      </c>
      <c r="F707" s="24">
        <v>9699193685</v>
      </c>
      <c r="G707" s="24" t="s">
        <v>1073</v>
      </c>
    </row>
    <row r="708" spans="1:7" ht="15.75" hidden="1" customHeight="1" x14ac:dyDescent="0.25">
      <c r="A708" s="24" t="s">
        <v>1071</v>
      </c>
      <c r="B708" s="24" t="s">
        <v>628</v>
      </c>
      <c r="C708" s="24" t="s">
        <v>629</v>
      </c>
      <c r="D708" s="24">
        <v>512908</v>
      </c>
      <c r="E708" s="24" t="s">
        <v>617</v>
      </c>
      <c r="F708" s="24">
        <v>9699193685</v>
      </c>
      <c r="G708" s="24" t="s">
        <v>1074</v>
      </c>
    </row>
    <row r="709" spans="1:7" ht="15.75" hidden="1" customHeight="1" x14ac:dyDescent="0.25">
      <c r="A709" s="24" t="s">
        <v>1071</v>
      </c>
      <c r="B709" s="24" t="s">
        <v>631</v>
      </c>
      <c r="C709" s="24" t="s">
        <v>632</v>
      </c>
      <c r="D709" s="24">
        <v>512909</v>
      </c>
      <c r="E709" s="24" t="s">
        <v>617</v>
      </c>
      <c r="F709" s="24">
        <v>9699193685</v>
      </c>
      <c r="G709" s="24" t="s">
        <v>1075</v>
      </c>
    </row>
    <row r="710" spans="1:7" ht="15.75" hidden="1" customHeight="1" x14ac:dyDescent="0.25">
      <c r="A710" s="24" t="s">
        <v>1071</v>
      </c>
      <c r="B710" s="24" t="s">
        <v>634</v>
      </c>
      <c r="C710" s="24" t="s">
        <v>635</v>
      </c>
      <c r="D710" s="24">
        <v>512883</v>
      </c>
      <c r="E710" s="24" t="s">
        <v>617</v>
      </c>
      <c r="F710" s="24">
        <v>9699193685</v>
      </c>
      <c r="G710" s="24" t="s">
        <v>1076</v>
      </c>
    </row>
    <row r="711" spans="1:7" ht="15.75" hidden="1" customHeight="1" x14ac:dyDescent="0.25">
      <c r="A711" s="24" t="s">
        <v>1071</v>
      </c>
      <c r="B711" s="24" t="s">
        <v>637</v>
      </c>
      <c r="C711" s="24" t="s">
        <v>638</v>
      </c>
      <c r="D711" s="24">
        <v>512887</v>
      </c>
      <c r="E711" s="24" t="s">
        <v>617</v>
      </c>
      <c r="F711" s="24">
        <v>9699193685</v>
      </c>
      <c r="G711" s="24" t="s">
        <v>1077</v>
      </c>
    </row>
    <row r="712" spans="1:7" ht="15.75" hidden="1" customHeight="1" x14ac:dyDescent="0.25">
      <c r="A712" s="24" t="s">
        <v>1071</v>
      </c>
      <c r="B712" s="24" t="s">
        <v>640</v>
      </c>
      <c r="C712" s="24" t="s">
        <v>629</v>
      </c>
      <c r="D712" s="24">
        <v>512908</v>
      </c>
      <c r="E712" s="24" t="s">
        <v>617</v>
      </c>
      <c r="F712" s="24">
        <v>9699193685</v>
      </c>
      <c r="G712" s="24" t="s">
        <v>1074</v>
      </c>
    </row>
    <row r="713" spans="1:7" ht="15.75" hidden="1" customHeight="1" x14ac:dyDescent="0.25">
      <c r="A713" s="24" t="s">
        <v>1071</v>
      </c>
      <c r="B713" s="24" t="s">
        <v>641</v>
      </c>
      <c r="C713" s="24" t="s">
        <v>345</v>
      </c>
      <c r="D713" s="24">
        <v>512985</v>
      </c>
      <c r="E713" s="24" t="s">
        <v>617</v>
      </c>
      <c r="F713" s="24">
        <v>9699193685</v>
      </c>
      <c r="G713" s="24" t="s">
        <v>1078</v>
      </c>
    </row>
    <row r="714" spans="1:7" ht="15.75" hidden="1" customHeight="1" x14ac:dyDescent="0.25">
      <c r="A714" s="24" t="s">
        <v>1071</v>
      </c>
      <c r="B714" s="24" t="s">
        <v>643</v>
      </c>
      <c r="C714" s="24" t="s">
        <v>460</v>
      </c>
      <c r="D714" s="24">
        <v>512903</v>
      </c>
      <c r="E714" s="24" t="s">
        <v>617</v>
      </c>
      <c r="F714" s="24">
        <v>9699193685</v>
      </c>
      <c r="G714" s="24" t="s">
        <v>1079</v>
      </c>
    </row>
    <row r="715" spans="1:7" ht="15.75" hidden="1" customHeight="1" x14ac:dyDescent="0.25">
      <c r="A715" s="24" t="s">
        <v>1071</v>
      </c>
      <c r="B715" s="24" t="s">
        <v>645</v>
      </c>
      <c r="C715" s="24" t="s">
        <v>629</v>
      </c>
      <c r="D715" s="24">
        <v>512908</v>
      </c>
      <c r="E715" s="24" t="s">
        <v>617</v>
      </c>
      <c r="F715" s="24">
        <v>9699193685</v>
      </c>
      <c r="G715" s="24" t="s">
        <v>1074</v>
      </c>
    </row>
    <row r="716" spans="1:7" ht="15.75" hidden="1" customHeight="1" x14ac:dyDescent="0.25">
      <c r="A716" s="24" t="s">
        <v>1071</v>
      </c>
      <c r="B716" s="24" t="s">
        <v>646</v>
      </c>
      <c r="C716" s="24" t="s">
        <v>638</v>
      </c>
      <c r="D716" s="24">
        <v>512887</v>
      </c>
      <c r="E716" s="24" t="s">
        <v>617</v>
      </c>
      <c r="F716" s="24">
        <v>9699193685</v>
      </c>
      <c r="G716" s="24" t="s">
        <v>1077</v>
      </c>
    </row>
    <row r="717" spans="1:7" ht="15.75" hidden="1" customHeight="1" x14ac:dyDescent="0.25">
      <c r="A717" s="24" t="s">
        <v>1071</v>
      </c>
      <c r="B717" s="24" t="s">
        <v>647</v>
      </c>
      <c r="C717" s="24" t="s">
        <v>345</v>
      </c>
      <c r="D717" s="24">
        <v>512985</v>
      </c>
      <c r="E717" s="24" t="s">
        <v>617</v>
      </c>
      <c r="F717" s="24">
        <v>9699193685</v>
      </c>
      <c r="G717" s="24" t="s">
        <v>1078</v>
      </c>
    </row>
    <row r="718" spans="1:7" ht="15.75" hidden="1" customHeight="1" x14ac:dyDescent="0.25">
      <c r="A718" s="24" t="s">
        <v>1071</v>
      </c>
      <c r="B718" s="24" t="s">
        <v>648</v>
      </c>
      <c r="C718" s="24" t="s">
        <v>353</v>
      </c>
      <c r="D718" s="24">
        <v>512885</v>
      </c>
      <c r="E718" s="24" t="s">
        <v>617</v>
      </c>
      <c r="F718" s="24">
        <v>9699193685</v>
      </c>
      <c r="G718" s="24" t="s">
        <v>1080</v>
      </c>
    </row>
    <row r="719" spans="1:7" ht="15.75" hidden="1" customHeight="1" x14ac:dyDescent="0.25">
      <c r="A719" s="24" t="s">
        <v>1071</v>
      </c>
      <c r="B719" s="24" t="s">
        <v>650</v>
      </c>
      <c r="C719" s="24" t="s">
        <v>588</v>
      </c>
      <c r="D719" s="24">
        <v>512888</v>
      </c>
      <c r="E719" s="24" t="s">
        <v>617</v>
      </c>
      <c r="F719" s="24">
        <v>9699193685</v>
      </c>
      <c r="G719" s="24" t="s">
        <v>1081</v>
      </c>
    </row>
    <row r="720" spans="1:7" ht="15.75" hidden="1" customHeight="1" x14ac:dyDescent="0.25">
      <c r="A720" s="24" t="s">
        <v>1071</v>
      </c>
      <c r="B720" s="24" t="s">
        <v>652</v>
      </c>
      <c r="C720" s="24" t="s">
        <v>653</v>
      </c>
      <c r="D720" s="24">
        <v>512910</v>
      </c>
      <c r="E720" s="24" t="s">
        <v>617</v>
      </c>
      <c r="F720" s="24">
        <v>9699193685</v>
      </c>
      <c r="G720" s="24" t="s">
        <v>1082</v>
      </c>
    </row>
    <row r="721" spans="1:7" ht="15.75" hidden="1" customHeight="1" x14ac:dyDescent="0.25">
      <c r="A721" s="24" t="s">
        <v>1071</v>
      </c>
      <c r="B721" s="24" t="s">
        <v>655</v>
      </c>
      <c r="C721" s="24" t="s">
        <v>345</v>
      </c>
      <c r="D721" s="24">
        <v>512985</v>
      </c>
      <c r="E721" s="24" t="s">
        <v>617</v>
      </c>
      <c r="F721" s="24">
        <v>9699193685</v>
      </c>
      <c r="G721" s="24" t="s">
        <v>1078</v>
      </c>
    </row>
    <row r="722" spans="1:7" ht="15.75" hidden="1" customHeight="1" x14ac:dyDescent="0.25">
      <c r="A722" s="24" t="s">
        <v>1071</v>
      </c>
      <c r="B722" s="24" t="s">
        <v>656</v>
      </c>
      <c r="C722" s="24" t="s">
        <v>638</v>
      </c>
      <c r="D722" s="24">
        <v>512887</v>
      </c>
      <c r="E722" s="24" t="s">
        <v>617</v>
      </c>
      <c r="F722" s="24">
        <v>9699193685</v>
      </c>
      <c r="G722" s="24" t="s">
        <v>1077</v>
      </c>
    </row>
    <row r="723" spans="1:7" ht="15.75" hidden="1" customHeight="1" x14ac:dyDescent="0.25">
      <c r="A723" s="24" t="s">
        <v>1071</v>
      </c>
      <c r="B723" s="24" t="s">
        <v>657</v>
      </c>
      <c r="C723" s="24" t="s">
        <v>353</v>
      </c>
      <c r="D723" s="24">
        <v>512885</v>
      </c>
      <c r="E723" s="24" t="s">
        <v>617</v>
      </c>
      <c r="F723" s="24">
        <v>9699193685</v>
      </c>
      <c r="G723" s="24" t="s">
        <v>1080</v>
      </c>
    </row>
    <row r="724" spans="1:7" ht="15.75" hidden="1" customHeight="1" x14ac:dyDescent="0.25">
      <c r="A724" s="24" t="s">
        <v>1071</v>
      </c>
      <c r="B724" s="24" t="s">
        <v>658</v>
      </c>
      <c r="C724" s="24" t="s">
        <v>638</v>
      </c>
      <c r="D724" s="24">
        <v>512887</v>
      </c>
      <c r="E724" s="24" t="s">
        <v>617</v>
      </c>
      <c r="F724" s="24">
        <v>9699193685</v>
      </c>
      <c r="G724" s="24" t="s">
        <v>1077</v>
      </c>
    </row>
    <row r="725" spans="1:7" ht="15.75" hidden="1" customHeight="1" x14ac:dyDescent="0.25">
      <c r="A725" s="24" t="s">
        <v>1071</v>
      </c>
      <c r="B725" s="24" t="s">
        <v>643</v>
      </c>
      <c r="C725" s="24" t="s">
        <v>659</v>
      </c>
      <c r="D725" s="24">
        <v>512903</v>
      </c>
      <c r="E725" s="24" t="s">
        <v>617</v>
      </c>
      <c r="F725" s="24">
        <v>9699193685</v>
      </c>
      <c r="G725" s="24" t="s">
        <v>1083</v>
      </c>
    </row>
    <row r="726" spans="1:7" ht="15.75" hidden="1" customHeight="1" x14ac:dyDescent="0.25">
      <c r="A726" s="24" t="s">
        <v>1071</v>
      </c>
      <c r="B726" s="24" t="s">
        <v>661</v>
      </c>
      <c r="C726" s="24" t="s">
        <v>353</v>
      </c>
      <c r="D726" s="24">
        <v>512885</v>
      </c>
      <c r="E726" s="24" t="s">
        <v>617</v>
      </c>
      <c r="F726" s="24">
        <v>9699193685</v>
      </c>
      <c r="G726" s="24" t="s">
        <v>1080</v>
      </c>
    </row>
    <row r="727" spans="1:7" ht="15.75" hidden="1" customHeight="1" x14ac:dyDescent="0.25">
      <c r="A727" s="24" t="s">
        <v>1071</v>
      </c>
      <c r="B727" s="24" t="s">
        <v>662</v>
      </c>
      <c r="C727" s="24" t="s">
        <v>353</v>
      </c>
      <c r="D727" s="24">
        <v>512885</v>
      </c>
      <c r="E727" s="24" t="s">
        <v>617</v>
      </c>
      <c r="F727" s="24">
        <v>9699193685</v>
      </c>
      <c r="G727" s="24" t="s">
        <v>1080</v>
      </c>
    </row>
    <row r="728" spans="1:7" ht="15.75" hidden="1" customHeight="1" x14ac:dyDescent="0.25">
      <c r="A728" s="24" t="s">
        <v>1071</v>
      </c>
      <c r="B728" s="24" t="s">
        <v>650</v>
      </c>
      <c r="C728" s="24" t="s">
        <v>588</v>
      </c>
      <c r="D728" s="24">
        <v>512888</v>
      </c>
      <c r="E728" s="24" t="s">
        <v>617</v>
      </c>
      <c r="F728" s="24">
        <v>9699193685</v>
      </c>
      <c r="G728" s="24" t="s">
        <v>1081</v>
      </c>
    </row>
    <row r="729" spans="1:7" ht="15.75" hidden="1" customHeight="1" x14ac:dyDescent="0.25">
      <c r="A729" s="24" t="s">
        <v>1071</v>
      </c>
      <c r="B729" s="24" t="s">
        <v>655</v>
      </c>
      <c r="C729" s="24" t="s">
        <v>345</v>
      </c>
      <c r="D729" s="24">
        <v>512985</v>
      </c>
      <c r="E729" s="24" t="s">
        <v>617</v>
      </c>
      <c r="F729" s="24">
        <v>9699193685</v>
      </c>
      <c r="G729" s="24" t="s">
        <v>1078</v>
      </c>
    </row>
    <row r="730" spans="1:7" ht="15.75" hidden="1" customHeight="1" x14ac:dyDescent="0.25">
      <c r="A730" s="24" t="s">
        <v>1071</v>
      </c>
      <c r="B730" s="24" t="s">
        <v>647</v>
      </c>
      <c r="C730" s="24" t="s">
        <v>345</v>
      </c>
      <c r="D730" s="24">
        <v>512985</v>
      </c>
      <c r="E730" s="24" t="s">
        <v>617</v>
      </c>
      <c r="F730" s="24">
        <v>9699193685</v>
      </c>
      <c r="G730" s="24" t="s">
        <v>1078</v>
      </c>
    </row>
    <row r="731" spans="1:7" ht="15.75" hidden="1" customHeight="1" x14ac:dyDescent="0.25">
      <c r="A731" s="24" t="s">
        <v>1071</v>
      </c>
      <c r="B731" s="24" t="s">
        <v>663</v>
      </c>
      <c r="C731" s="24" t="s">
        <v>635</v>
      </c>
      <c r="D731" s="24">
        <v>512883</v>
      </c>
      <c r="E731" s="24" t="s">
        <v>617</v>
      </c>
      <c r="F731" s="24">
        <v>9699193685</v>
      </c>
      <c r="G731" s="24" t="s">
        <v>1076</v>
      </c>
    </row>
    <row r="732" spans="1:7" ht="15.75" hidden="1" customHeight="1" x14ac:dyDescent="0.25">
      <c r="A732" s="24" t="s">
        <v>1071</v>
      </c>
      <c r="B732" s="24" t="s">
        <v>637</v>
      </c>
      <c r="C732" s="24" t="s">
        <v>638</v>
      </c>
      <c r="D732" s="24">
        <v>512887</v>
      </c>
      <c r="E732" s="24" t="s">
        <v>617</v>
      </c>
      <c r="F732" s="24">
        <v>9699193685</v>
      </c>
      <c r="G732" s="24" t="s">
        <v>1077</v>
      </c>
    </row>
    <row r="733" spans="1:7" ht="15.75" hidden="1" customHeight="1" x14ac:dyDescent="0.25">
      <c r="A733" s="24" t="s">
        <v>1071</v>
      </c>
      <c r="B733" s="24" t="s">
        <v>652</v>
      </c>
      <c r="C733" s="24" t="s">
        <v>653</v>
      </c>
      <c r="D733" s="24">
        <v>512910</v>
      </c>
      <c r="E733" s="24" t="s">
        <v>617</v>
      </c>
      <c r="F733" s="24">
        <v>9699193685</v>
      </c>
      <c r="G733" s="24" t="s">
        <v>1082</v>
      </c>
    </row>
    <row r="734" spans="1:7" ht="15.75" hidden="1" customHeight="1" x14ac:dyDescent="0.25">
      <c r="A734" s="24" t="s">
        <v>1071</v>
      </c>
      <c r="B734" s="24" t="s">
        <v>631</v>
      </c>
      <c r="C734" s="24" t="s">
        <v>632</v>
      </c>
      <c r="D734" s="24">
        <v>512909</v>
      </c>
      <c r="E734" s="24" t="s">
        <v>617</v>
      </c>
      <c r="F734" s="24">
        <v>9699193685</v>
      </c>
      <c r="G734" s="24" t="s">
        <v>1075</v>
      </c>
    </row>
    <row r="735" spans="1:7" ht="15.75" hidden="1" customHeight="1" x14ac:dyDescent="0.25">
      <c r="A735" s="24" t="s">
        <v>1071</v>
      </c>
      <c r="B735" s="24" t="s">
        <v>628</v>
      </c>
      <c r="C735" s="24" t="s">
        <v>629</v>
      </c>
      <c r="D735" s="24">
        <v>512908</v>
      </c>
      <c r="E735" s="24" t="s">
        <v>617</v>
      </c>
      <c r="F735" s="24">
        <v>9699193685</v>
      </c>
      <c r="G735" s="24" t="s">
        <v>1074</v>
      </c>
    </row>
    <row r="736" spans="1:7" ht="15.75" hidden="1" customHeight="1" x14ac:dyDescent="0.25">
      <c r="A736" s="24" t="s">
        <v>1071</v>
      </c>
      <c r="B736" s="24" t="s">
        <v>646</v>
      </c>
      <c r="C736" s="24" t="s">
        <v>638</v>
      </c>
      <c r="D736" s="24">
        <v>512887</v>
      </c>
      <c r="E736" s="24" t="s">
        <v>617</v>
      </c>
      <c r="F736" s="24">
        <v>9699193685</v>
      </c>
      <c r="G736" s="24" t="s">
        <v>1077</v>
      </c>
    </row>
    <row r="737" spans="1:7" ht="15.75" hidden="1" customHeight="1" x14ac:dyDescent="0.25">
      <c r="A737" s="24" t="s">
        <v>1071</v>
      </c>
      <c r="B737" s="24" t="s">
        <v>664</v>
      </c>
      <c r="C737" s="24" t="s">
        <v>353</v>
      </c>
      <c r="D737" s="24">
        <v>512885</v>
      </c>
      <c r="E737" s="24" t="s">
        <v>617</v>
      </c>
      <c r="F737" s="24">
        <v>9699193685</v>
      </c>
      <c r="G737" s="24" t="s">
        <v>1080</v>
      </c>
    </row>
    <row r="738" spans="1:7" ht="15.75" hidden="1" customHeight="1" x14ac:dyDescent="0.25">
      <c r="A738" s="24" t="s">
        <v>1071</v>
      </c>
      <c r="B738" s="24" t="s">
        <v>665</v>
      </c>
      <c r="C738" s="24" t="s">
        <v>666</v>
      </c>
      <c r="D738" s="24">
        <v>512907</v>
      </c>
      <c r="E738" s="24" t="s">
        <v>617</v>
      </c>
      <c r="F738" s="24">
        <v>9699193685</v>
      </c>
      <c r="G738" s="24" t="s">
        <v>1084</v>
      </c>
    </row>
    <row r="739" spans="1:7" ht="15.75" hidden="1" customHeight="1" x14ac:dyDescent="0.25">
      <c r="A739" s="24" t="s">
        <v>1071</v>
      </c>
      <c r="B739" s="24" t="s">
        <v>668</v>
      </c>
      <c r="C739" s="24" t="s">
        <v>669</v>
      </c>
      <c r="D739" s="24">
        <v>512904</v>
      </c>
      <c r="E739" s="24" t="s">
        <v>617</v>
      </c>
      <c r="F739" s="24">
        <v>9699193685</v>
      </c>
      <c r="G739" s="24" t="s">
        <v>1085</v>
      </c>
    </row>
    <row r="740" spans="1:7" ht="15.75" hidden="1" customHeight="1" x14ac:dyDescent="0.25">
      <c r="A740" s="24" t="s">
        <v>1071</v>
      </c>
      <c r="B740" s="24" t="s">
        <v>671</v>
      </c>
      <c r="C740" s="24" t="s">
        <v>353</v>
      </c>
      <c r="D740" s="24">
        <v>512885</v>
      </c>
      <c r="E740" s="24" t="s">
        <v>617</v>
      </c>
      <c r="F740" s="24">
        <v>9699193685</v>
      </c>
      <c r="G740" s="24" t="s">
        <v>1080</v>
      </c>
    </row>
    <row r="741" spans="1:7" ht="15.75" hidden="1" customHeight="1" x14ac:dyDescent="0.25">
      <c r="A741" s="24" t="s">
        <v>1071</v>
      </c>
      <c r="B741" s="24" t="s">
        <v>672</v>
      </c>
      <c r="C741" s="24" t="s">
        <v>353</v>
      </c>
      <c r="D741" s="24">
        <v>512885</v>
      </c>
      <c r="E741" s="24" t="s">
        <v>617</v>
      </c>
      <c r="F741" s="24">
        <v>9699193685</v>
      </c>
      <c r="G741" s="24" t="s">
        <v>1080</v>
      </c>
    </row>
    <row r="742" spans="1:7" ht="15.75" hidden="1" customHeight="1" x14ac:dyDescent="0.25">
      <c r="A742" s="24" t="s">
        <v>1086</v>
      </c>
      <c r="B742" s="24" t="s">
        <v>1087</v>
      </c>
      <c r="C742" s="24" t="s">
        <v>1088</v>
      </c>
      <c r="D742" s="24">
        <v>612105</v>
      </c>
      <c r="E742" s="24" t="s">
        <v>617</v>
      </c>
      <c r="F742" s="24">
        <v>9600018403</v>
      </c>
      <c r="G742" s="24" t="s">
        <v>1089</v>
      </c>
    </row>
    <row r="743" spans="1:7" ht="15.75" hidden="1" customHeight="1" x14ac:dyDescent="0.25">
      <c r="A743" s="24" t="s">
        <v>1086</v>
      </c>
      <c r="B743" s="24" t="s">
        <v>1090</v>
      </c>
      <c r="C743" s="24" t="s">
        <v>1091</v>
      </c>
      <c r="D743" s="24">
        <v>512901</v>
      </c>
      <c r="E743" s="24" t="s">
        <v>617</v>
      </c>
      <c r="F743" s="24">
        <v>9600018403</v>
      </c>
      <c r="G743" s="24" t="s">
        <v>1089</v>
      </c>
    </row>
    <row r="744" spans="1:7" ht="15.75" hidden="1" customHeight="1" x14ac:dyDescent="0.25">
      <c r="A744" s="24" t="s">
        <v>1086</v>
      </c>
      <c r="B744" s="24" t="s">
        <v>1092</v>
      </c>
      <c r="C744" s="24" t="s">
        <v>629</v>
      </c>
      <c r="D744" s="24">
        <v>512908</v>
      </c>
      <c r="E744" s="24" t="s">
        <v>617</v>
      </c>
      <c r="F744" s="24">
        <v>9600018403</v>
      </c>
      <c r="G744" s="24" t="s">
        <v>1089</v>
      </c>
    </row>
    <row r="745" spans="1:7" ht="15.75" hidden="1" customHeight="1" x14ac:dyDescent="0.25">
      <c r="A745" s="24" t="s">
        <v>1086</v>
      </c>
      <c r="B745" s="24" t="s">
        <v>1093</v>
      </c>
      <c r="C745" s="24" t="s">
        <v>632</v>
      </c>
      <c r="D745" s="24">
        <v>512909</v>
      </c>
      <c r="E745" s="24" t="s">
        <v>617</v>
      </c>
      <c r="F745" s="24">
        <v>9600018403</v>
      </c>
      <c r="G745" s="24" t="s">
        <v>1089</v>
      </c>
    </row>
    <row r="746" spans="1:7" ht="15.75" hidden="1" customHeight="1" x14ac:dyDescent="0.25">
      <c r="A746" s="24" t="s">
        <v>1086</v>
      </c>
      <c r="B746" s="24" t="s">
        <v>1094</v>
      </c>
      <c r="C746" s="24" t="s">
        <v>669</v>
      </c>
      <c r="D746" s="24">
        <v>512904</v>
      </c>
      <c r="E746" s="24" t="s">
        <v>617</v>
      </c>
      <c r="F746" s="24">
        <v>9600018403</v>
      </c>
      <c r="G746" s="24" t="s">
        <v>1095</v>
      </c>
    </row>
    <row r="747" spans="1:7" ht="15.75" hidden="1" customHeight="1" x14ac:dyDescent="0.25">
      <c r="A747" s="24" t="s">
        <v>1086</v>
      </c>
      <c r="B747" s="24" t="s">
        <v>1096</v>
      </c>
      <c r="C747" s="24" t="s">
        <v>1097</v>
      </c>
      <c r="D747" s="24">
        <v>512985</v>
      </c>
      <c r="E747" s="24" t="s">
        <v>617</v>
      </c>
      <c r="F747" s="24">
        <v>9600018403</v>
      </c>
      <c r="G747" s="24" t="s">
        <v>1098</v>
      </c>
    </row>
    <row r="748" spans="1:7" ht="15.75" hidden="1" customHeight="1" x14ac:dyDescent="0.25">
      <c r="A748" s="24" t="s">
        <v>1086</v>
      </c>
      <c r="B748" s="24" t="s">
        <v>1099</v>
      </c>
      <c r="C748" s="24" t="s">
        <v>463</v>
      </c>
      <c r="D748" s="24">
        <v>512883</v>
      </c>
      <c r="E748" s="24" t="s">
        <v>617</v>
      </c>
      <c r="F748" s="24">
        <v>9600018403</v>
      </c>
      <c r="G748" s="24" t="s">
        <v>1100</v>
      </c>
    </row>
    <row r="749" spans="1:7" ht="15.75" hidden="1" customHeight="1" x14ac:dyDescent="0.25">
      <c r="A749" s="24" t="s">
        <v>1086</v>
      </c>
      <c r="B749" s="24" t="s">
        <v>1101</v>
      </c>
      <c r="C749" s="24" t="s">
        <v>353</v>
      </c>
      <c r="D749" s="24">
        <v>512885</v>
      </c>
      <c r="E749" s="24" t="s">
        <v>617</v>
      </c>
      <c r="F749" s="24">
        <v>9600018403</v>
      </c>
      <c r="G749" s="24" t="s">
        <v>1102</v>
      </c>
    </row>
    <row r="750" spans="1:7" ht="15.75" hidden="1" customHeight="1" x14ac:dyDescent="0.25">
      <c r="A750" s="24" t="s">
        <v>1086</v>
      </c>
      <c r="B750" s="24" t="s">
        <v>1103</v>
      </c>
      <c r="C750" s="24" t="s">
        <v>1104</v>
      </c>
      <c r="D750" s="24">
        <v>512901</v>
      </c>
      <c r="E750" s="24" t="s">
        <v>617</v>
      </c>
      <c r="F750" s="24">
        <v>9600018403</v>
      </c>
      <c r="G750" s="24" t="s">
        <v>1105</v>
      </c>
    </row>
    <row r="751" spans="1:7" ht="15.75" hidden="1" customHeight="1" x14ac:dyDescent="0.25">
      <c r="A751" s="24" t="s">
        <v>1106</v>
      </c>
      <c r="B751" s="24" t="s">
        <v>469</v>
      </c>
      <c r="C751" s="24" t="s">
        <v>470</v>
      </c>
      <c r="D751" s="24">
        <v>512901</v>
      </c>
      <c r="E751" s="24" t="s">
        <v>491</v>
      </c>
      <c r="F751" s="24">
        <v>9699193721</v>
      </c>
      <c r="G751" s="24" t="s">
        <v>1107</v>
      </c>
    </row>
    <row r="752" spans="1:7" ht="15.75" hidden="1" customHeight="1" x14ac:dyDescent="0.25">
      <c r="A752" s="24" t="s">
        <v>1106</v>
      </c>
      <c r="B752" s="24" t="s">
        <v>459</v>
      </c>
      <c r="C752" s="24" t="s">
        <v>460</v>
      </c>
      <c r="D752" s="24">
        <v>512903</v>
      </c>
      <c r="E752" s="24" t="s">
        <v>491</v>
      </c>
      <c r="F752" s="24">
        <v>9699193721</v>
      </c>
      <c r="G752" s="24" t="s">
        <v>1108</v>
      </c>
    </row>
    <row r="753" spans="1:7" ht="15.75" hidden="1" customHeight="1" x14ac:dyDescent="0.25">
      <c r="A753" s="24" t="s">
        <v>1106</v>
      </c>
      <c r="B753" s="24" t="s">
        <v>463</v>
      </c>
      <c r="C753" s="24" t="s">
        <v>464</v>
      </c>
      <c r="D753" s="24">
        <v>512903</v>
      </c>
      <c r="E753" s="24" t="s">
        <v>491</v>
      </c>
      <c r="F753" s="24">
        <v>9699193721</v>
      </c>
      <c r="G753" s="24" t="s">
        <v>1109</v>
      </c>
    </row>
    <row r="754" spans="1:7" ht="15.75" hidden="1" customHeight="1" x14ac:dyDescent="0.25">
      <c r="A754" s="24" t="s">
        <v>1106</v>
      </c>
      <c r="B754" s="24" t="s">
        <v>466</v>
      </c>
      <c r="C754" s="24" t="s">
        <v>467</v>
      </c>
      <c r="D754" s="24">
        <v>512903</v>
      </c>
      <c r="E754" s="24" t="s">
        <v>491</v>
      </c>
      <c r="F754" s="24">
        <v>9699193721</v>
      </c>
      <c r="G754" s="24" t="s">
        <v>1110</v>
      </c>
    </row>
    <row r="755" spans="1:7" ht="15.75" hidden="1" customHeight="1" x14ac:dyDescent="0.25">
      <c r="A755" s="24" t="s">
        <v>1106</v>
      </c>
      <c r="B755" s="24" t="s">
        <v>480</v>
      </c>
      <c r="C755" s="24" t="s">
        <v>481</v>
      </c>
      <c r="D755" s="24">
        <v>512916</v>
      </c>
      <c r="E755" s="24" t="s">
        <v>491</v>
      </c>
      <c r="F755" s="24">
        <v>9699193721</v>
      </c>
      <c r="G755" s="24" t="s">
        <v>1111</v>
      </c>
    </row>
    <row r="756" spans="1:7" ht="15.75" hidden="1" customHeight="1" x14ac:dyDescent="0.25">
      <c r="A756" s="24" t="s">
        <v>1106</v>
      </c>
      <c r="B756" s="24" t="s">
        <v>483</v>
      </c>
      <c r="C756" s="24" t="s">
        <v>484</v>
      </c>
      <c r="D756" s="24">
        <v>512915</v>
      </c>
      <c r="E756" s="24" t="s">
        <v>491</v>
      </c>
      <c r="F756" s="24">
        <v>9699193721</v>
      </c>
      <c r="G756" s="24" t="s">
        <v>1112</v>
      </c>
    </row>
    <row r="757" spans="1:7" ht="15.75" hidden="1" customHeight="1" x14ac:dyDescent="0.25">
      <c r="A757" s="24" t="s">
        <v>1106</v>
      </c>
      <c r="B757" s="24" t="s">
        <v>486</v>
      </c>
      <c r="C757" s="24" t="s">
        <v>484</v>
      </c>
      <c r="D757" s="24">
        <v>512915</v>
      </c>
      <c r="E757" s="24" t="s">
        <v>491</v>
      </c>
      <c r="F757" s="24">
        <v>9699193721</v>
      </c>
      <c r="G757" s="24" t="s">
        <v>1112</v>
      </c>
    </row>
    <row r="758" spans="1:7" ht="15.75" hidden="1" customHeight="1" x14ac:dyDescent="0.25">
      <c r="A758" s="24" t="s">
        <v>1106</v>
      </c>
      <c r="B758" s="24" t="s">
        <v>487</v>
      </c>
      <c r="C758" s="24" t="s">
        <v>488</v>
      </c>
      <c r="D758" s="24">
        <v>512907</v>
      </c>
      <c r="E758" s="24" t="s">
        <v>491</v>
      </c>
      <c r="F758" s="24">
        <v>9699193721</v>
      </c>
      <c r="G758" s="24" t="s">
        <v>1113</v>
      </c>
    </row>
    <row r="759" spans="1:7" ht="15.75" hidden="1" customHeight="1" x14ac:dyDescent="0.25">
      <c r="A759" s="24" t="s">
        <v>1106</v>
      </c>
      <c r="B759" s="24" t="s">
        <v>477</v>
      </c>
      <c r="C759" s="24" t="s">
        <v>478</v>
      </c>
      <c r="D759" s="24">
        <v>512901</v>
      </c>
      <c r="E759" s="24" t="s">
        <v>491</v>
      </c>
      <c r="F759" s="24">
        <v>9699193721</v>
      </c>
      <c r="G759" s="24" t="s">
        <v>1114</v>
      </c>
    </row>
    <row r="760" spans="1:7" ht="15.75" hidden="1" customHeight="1" x14ac:dyDescent="0.25">
      <c r="A760" s="24" t="s">
        <v>1106</v>
      </c>
      <c r="B760" s="24" t="s">
        <v>472</v>
      </c>
      <c r="C760" s="24" t="s">
        <v>473</v>
      </c>
      <c r="D760" s="24">
        <v>512985</v>
      </c>
      <c r="E760" s="24" t="s">
        <v>491</v>
      </c>
      <c r="F760" s="24">
        <v>9699193721</v>
      </c>
      <c r="G760" s="24" t="s">
        <v>1115</v>
      </c>
    </row>
    <row r="761" spans="1:7" ht="15.75" hidden="1" customHeight="1" x14ac:dyDescent="0.25">
      <c r="A761" s="24" t="s">
        <v>1106</v>
      </c>
      <c r="B761" s="24" t="s">
        <v>322</v>
      </c>
      <c r="C761" s="24" t="s">
        <v>322</v>
      </c>
      <c r="D761" s="24">
        <v>611129</v>
      </c>
      <c r="E761" s="24" t="s">
        <v>552</v>
      </c>
      <c r="F761" s="24">
        <v>9699193721</v>
      </c>
      <c r="G761" s="24" t="s">
        <v>1116</v>
      </c>
    </row>
    <row r="762" spans="1:7" ht="15.75" hidden="1" customHeight="1" x14ac:dyDescent="0.25">
      <c r="A762" s="24" t="s">
        <v>1117</v>
      </c>
      <c r="B762" s="24" t="s">
        <v>313</v>
      </c>
      <c r="C762" s="24" t="s">
        <v>314</v>
      </c>
      <c r="D762" s="24">
        <v>612105</v>
      </c>
      <c r="E762" s="24" t="s">
        <v>373</v>
      </c>
      <c r="F762" s="24">
        <v>9699193686</v>
      </c>
      <c r="G762" s="24" t="s">
        <v>1118</v>
      </c>
    </row>
    <row r="763" spans="1:7" ht="15.75" hidden="1" customHeight="1" x14ac:dyDescent="0.25">
      <c r="A763" s="24" t="s">
        <v>1117</v>
      </c>
      <c r="B763" s="24" t="s">
        <v>317</v>
      </c>
      <c r="C763" s="24" t="s">
        <v>318</v>
      </c>
      <c r="D763" s="24">
        <v>612105</v>
      </c>
      <c r="E763" s="24" t="s">
        <v>373</v>
      </c>
      <c r="F763" s="24">
        <v>9699193686</v>
      </c>
      <c r="G763" s="24" t="s">
        <v>1119</v>
      </c>
    </row>
    <row r="764" spans="1:7" ht="15.75" hidden="1" customHeight="1" x14ac:dyDescent="0.25">
      <c r="A764" s="24" t="s">
        <v>1117</v>
      </c>
      <c r="B764" s="24" t="s">
        <v>320</v>
      </c>
      <c r="C764" s="24" t="s">
        <v>320</v>
      </c>
      <c r="D764" s="24">
        <v>611128</v>
      </c>
      <c r="E764" s="24" t="s">
        <v>373</v>
      </c>
      <c r="F764" s="24">
        <v>9699193686</v>
      </c>
      <c r="G764" s="24" t="s">
        <v>1120</v>
      </c>
    </row>
    <row r="765" spans="1:7" ht="15.75" hidden="1" customHeight="1" x14ac:dyDescent="0.25">
      <c r="A765" s="24" t="s">
        <v>1117</v>
      </c>
      <c r="B765" s="24" t="s">
        <v>322</v>
      </c>
      <c r="C765" s="24" t="s">
        <v>322</v>
      </c>
      <c r="D765" s="24">
        <v>611129</v>
      </c>
      <c r="E765" s="24" t="s">
        <v>373</v>
      </c>
      <c r="F765" s="24">
        <v>9699193686</v>
      </c>
      <c r="G765" s="24" t="s">
        <v>1121</v>
      </c>
    </row>
    <row r="766" spans="1:7" ht="15.75" hidden="1" customHeight="1" x14ac:dyDescent="0.25">
      <c r="A766" s="24" t="s">
        <v>1117</v>
      </c>
      <c r="B766" s="24" t="s">
        <v>324</v>
      </c>
      <c r="C766" s="24" t="s">
        <v>324</v>
      </c>
      <c r="D766" s="24">
        <v>512904</v>
      </c>
      <c r="E766" s="24" t="s">
        <v>373</v>
      </c>
      <c r="F766" s="24">
        <v>9699193686</v>
      </c>
      <c r="G766" s="24" t="s">
        <v>1122</v>
      </c>
    </row>
    <row r="767" spans="1:7" ht="15.75" hidden="1" customHeight="1" x14ac:dyDescent="0.25">
      <c r="A767" s="24" t="s">
        <v>1117</v>
      </c>
      <c r="B767" s="24" t="s">
        <v>332</v>
      </c>
      <c r="C767" s="24" t="s">
        <v>330</v>
      </c>
      <c r="D767" s="24">
        <v>611129</v>
      </c>
      <c r="E767" s="24" t="s">
        <v>373</v>
      </c>
      <c r="F767" s="24">
        <v>9699193686</v>
      </c>
      <c r="G767" s="24" t="s">
        <v>1123</v>
      </c>
    </row>
    <row r="768" spans="1:7" ht="15.75" hidden="1" customHeight="1" x14ac:dyDescent="0.25">
      <c r="A768" s="24" t="s">
        <v>1117</v>
      </c>
      <c r="B768" s="24" t="s">
        <v>333</v>
      </c>
      <c r="C768" s="24" t="s">
        <v>334</v>
      </c>
      <c r="D768" s="24">
        <v>612106</v>
      </c>
      <c r="E768" s="24" t="s">
        <v>373</v>
      </c>
      <c r="F768" s="24">
        <v>9699193686</v>
      </c>
      <c r="G768" s="24" t="s">
        <v>1124</v>
      </c>
    </row>
    <row r="769" spans="1:7" ht="15.75" hidden="1" customHeight="1" x14ac:dyDescent="0.25">
      <c r="A769" s="24" t="s">
        <v>1117</v>
      </c>
      <c r="B769" s="24" t="s">
        <v>336</v>
      </c>
      <c r="C769" s="24" t="s">
        <v>336</v>
      </c>
      <c r="D769" s="24">
        <v>512883</v>
      </c>
      <c r="E769" s="24" t="s">
        <v>373</v>
      </c>
      <c r="F769" s="24">
        <v>9699193686</v>
      </c>
      <c r="G769" s="24" t="s">
        <v>1125</v>
      </c>
    </row>
    <row r="770" spans="1:7" ht="15.75" hidden="1" customHeight="1" x14ac:dyDescent="0.25">
      <c r="A770" s="24" t="s">
        <v>1117</v>
      </c>
      <c r="B770" s="24" t="s">
        <v>338</v>
      </c>
      <c r="C770" s="24" t="s">
        <v>338</v>
      </c>
      <c r="D770" s="24">
        <v>512908</v>
      </c>
      <c r="E770" s="24" t="s">
        <v>373</v>
      </c>
      <c r="F770" s="24">
        <v>9699193686</v>
      </c>
      <c r="G770" s="24" t="s">
        <v>1126</v>
      </c>
    </row>
    <row r="771" spans="1:7" ht="15.75" hidden="1" customHeight="1" x14ac:dyDescent="0.25">
      <c r="A771" s="24" t="s">
        <v>1117</v>
      </c>
      <c r="B771" s="24" t="s">
        <v>340</v>
      </c>
      <c r="C771" s="24" t="s">
        <v>340</v>
      </c>
      <c r="D771" s="24">
        <v>512903</v>
      </c>
      <c r="E771" s="24" t="s">
        <v>373</v>
      </c>
      <c r="F771" s="24">
        <v>9699193686</v>
      </c>
      <c r="G771" s="24" t="s">
        <v>1127</v>
      </c>
    </row>
    <row r="772" spans="1:7" ht="15.75" hidden="1" customHeight="1" x14ac:dyDescent="0.25">
      <c r="A772" s="24" t="s">
        <v>1117</v>
      </c>
      <c r="B772" s="24" t="s">
        <v>342</v>
      </c>
      <c r="C772" s="24" t="s">
        <v>342</v>
      </c>
      <c r="D772" s="24">
        <v>512903</v>
      </c>
      <c r="E772" s="24" t="s">
        <v>373</v>
      </c>
      <c r="F772" s="24">
        <v>9699193686</v>
      </c>
      <c r="G772" s="24" t="s">
        <v>1128</v>
      </c>
    </row>
    <row r="773" spans="1:7" ht="15.75" hidden="1" customHeight="1" x14ac:dyDescent="0.25">
      <c r="A773" s="24" t="s">
        <v>1117</v>
      </c>
      <c r="B773" s="24" t="s">
        <v>344</v>
      </c>
      <c r="C773" s="24" t="s">
        <v>345</v>
      </c>
      <c r="D773" s="24">
        <v>512985</v>
      </c>
      <c r="E773" s="24" t="s">
        <v>373</v>
      </c>
      <c r="F773" s="24">
        <v>9699193686</v>
      </c>
      <c r="G773" s="24" t="s">
        <v>1129</v>
      </c>
    </row>
    <row r="774" spans="1:7" ht="15.75" hidden="1" customHeight="1" x14ac:dyDescent="0.25">
      <c r="A774" s="24" t="s">
        <v>1117</v>
      </c>
      <c r="B774" s="24" t="s">
        <v>347</v>
      </c>
      <c r="C774" s="24" t="s">
        <v>348</v>
      </c>
      <c r="D774" s="24">
        <v>512884</v>
      </c>
      <c r="E774" s="24" t="s">
        <v>373</v>
      </c>
      <c r="F774" s="24">
        <v>9699193686</v>
      </c>
      <c r="G774" s="24" t="s">
        <v>1130</v>
      </c>
    </row>
    <row r="775" spans="1:7" ht="15.75" hidden="1" customHeight="1" x14ac:dyDescent="0.25">
      <c r="A775" s="24" t="s">
        <v>1117</v>
      </c>
      <c r="B775" s="24" t="s">
        <v>350</v>
      </c>
      <c r="C775" s="24" t="s">
        <v>351</v>
      </c>
      <c r="D775" s="24">
        <v>512902</v>
      </c>
      <c r="E775" s="24" t="s">
        <v>373</v>
      </c>
      <c r="F775" s="24">
        <v>9699193686</v>
      </c>
      <c r="G775" s="24" t="s">
        <v>1131</v>
      </c>
    </row>
    <row r="776" spans="1:7" ht="15.75" hidden="1" customHeight="1" x14ac:dyDescent="0.25">
      <c r="A776" s="24" t="s">
        <v>1117</v>
      </c>
      <c r="B776" s="24" t="s">
        <v>353</v>
      </c>
      <c r="C776" s="24" t="s">
        <v>353</v>
      </c>
      <c r="D776" s="24">
        <v>512885</v>
      </c>
      <c r="E776" s="24" t="s">
        <v>373</v>
      </c>
      <c r="F776" s="24">
        <v>9699193686</v>
      </c>
      <c r="G776" s="24" t="s">
        <v>1132</v>
      </c>
    </row>
    <row r="777" spans="1:7" ht="15.75" hidden="1" customHeight="1" x14ac:dyDescent="0.25">
      <c r="A777" s="24" t="s">
        <v>1117</v>
      </c>
      <c r="B777" s="24" t="s">
        <v>862</v>
      </c>
      <c r="C777" s="24" t="s">
        <v>863</v>
      </c>
      <c r="D777" s="24">
        <v>612105</v>
      </c>
      <c r="E777" s="24" t="s">
        <v>373</v>
      </c>
      <c r="F777" s="24">
        <v>9699193686</v>
      </c>
      <c r="G777" s="24" t="s">
        <v>1133</v>
      </c>
    </row>
    <row r="778" spans="1:7" ht="15.75" hidden="1" customHeight="1" x14ac:dyDescent="0.25">
      <c r="A778" s="24" t="s">
        <v>1117</v>
      </c>
      <c r="B778" s="24" t="s">
        <v>452</v>
      </c>
      <c r="C778" s="24" t="s">
        <v>453</v>
      </c>
      <c r="D778" s="24">
        <v>512916</v>
      </c>
      <c r="E778" s="24" t="s">
        <v>373</v>
      </c>
      <c r="F778" s="24">
        <v>9699193686</v>
      </c>
      <c r="G778" s="24" t="s">
        <v>1134</v>
      </c>
    </row>
    <row r="779" spans="1:7" ht="15.75" hidden="1" customHeight="1" x14ac:dyDescent="0.25">
      <c r="A779" s="24" t="s">
        <v>1117</v>
      </c>
      <c r="B779" s="24" t="s">
        <v>822</v>
      </c>
      <c r="C779" s="24" t="s">
        <v>823</v>
      </c>
      <c r="D779" s="24">
        <v>612105</v>
      </c>
      <c r="E779" s="24" t="s">
        <v>373</v>
      </c>
      <c r="F779" s="24">
        <v>9699193686</v>
      </c>
      <c r="G779" s="24" t="s">
        <v>1135</v>
      </c>
    </row>
    <row r="780" spans="1:7" ht="15.75" hidden="1" customHeight="1" x14ac:dyDescent="0.25">
      <c r="A780" s="24" t="s">
        <v>1117</v>
      </c>
      <c r="B780" s="24" t="s">
        <v>949</v>
      </c>
      <c r="C780" s="24" t="s">
        <v>823</v>
      </c>
      <c r="D780" s="24">
        <v>612105</v>
      </c>
      <c r="E780" s="24" t="s">
        <v>373</v>
      </c>
      <c r="F780" s="24">
        <v>9699193686</v>
      </c>
      <c r="G780" s="24" t="s">
        <v>1136</v>
      </c>
    </row>
    <row r="781" spans="1:7" ht="15.75" hidden="1" customHeight="1" x14ac:dyDescent="0.25">
      <c r="A781" s="24" t="s">
        <v>1117</v>
      </c>
      <c r="B781" s="24" t="s">
        <v>851</v>
      </c>
      <c r="C781" s="24" t="s">
        <v>852</v>
      </c>
      <c r="D781" s="24">
        <v>612105</v>
      </c>
      <c r="E781" s="24" t="s">
        <v>373</v>
      </c>
      <c r="F781" s="24">
        <v>9699193686</v>
      </c>
      <c r="G781" s="24" t="s">
        <v>1136</v>
      </c>
    </row>
    <row r="782" spans="1:7" ht="15.75" hidden="1" customHeight="1" x14ac:dyDescent="0.25">
      <c r="A782" s="24" t="s">
        <v>1137</v>
      </c>
      <c r="B782" s="24" t="s">
        <v>313</v>
      </c>
      <c r="C782" s="24" t="s">
        <v>314</v>
      </c>
      <c r="D782" s="24">
        <v>612105</v>
      </c>
      <c r="E782" s="24" t="s">
        <v>373</v>
      </c>
      <c r="F782" s="24">
        <v>9699193686</v>
      </c>
      <c r="G782" s="24" t="s">
        <v>1138</v>
      </c>
    </row>
    <row r="783" spans="1:7" ht="15.75" hidden="1" customHeight="1" x14ac:dyDescent="0.25">
      <c r="A783" s="24" t="s">
        <v>1137</v>
      </c>
      <c r="B783" s="24" t="s">
        <v>317</v>
      </c>
      <c r="C783" s="24" t="s">
        <v>318</v>
      </c>
      <c r="D783" s="24">
        <v>612105</v>
      </c>
      <c r="E783" s="24" t="s">
        <v>373</v>
      </c>
      <c r="F783" s="24">
        <v>9699193686</v>
      </c>
      <c r="G783" s="24" t="s">
        <v>1139</v>
      </c>
    </row>
    <row r="784" spans="1:7" ht="15.75" hidden="1" customHeight="1" x14ac:dyDescent="0.25">
      <c r="A784" s="24" t="s">
        <v>1137</v>
      </c>
      <c r="B784" s="24" t="s">
        <v>320</v>
      </c>
      <c r="C784" s="24" t="s">
        <v>320</v>
      </c>
      <c r="D784" s="24">
        <v>611128</v>
      </c>
      <c r="E784" s="24" t="s">
        <v>373</v>
      </c>
      <c r="F784" s="24">
        <v>9699193686</v>
      </c>
      <c r="G784" s="24" t="s">
        <v>1140</v>
      </c>
    </row>
    <row r="785" spans="1:7" ht="15.75" hidden="1" customHeight="1" x14ac:dyDescent="0.25">
      <c r="A785" s="24" t="s">
        <v>1137</v>
      </c>
      <c r="B785" s="24" t="s">
        <v>322</v>
      </c>
      <c r="C785" s="24" t="s">
        <v>322</v>
      </c>
      <c r="D785" s="24">
        <v>611129</v>
      </c>
      <c r="E785" s="24" t="s">
        <v>373</v>
      </c>
      <c r="F785" s="24">
        <v>9699193686</v>
      </c>
      <c r="G785" s="24" t="s">
        <v>1141</v>
      </c>
    </row>
    <row r="786" spans="1:7" ht="15.75" hidden="1" customHeight="1" x14ac:dyDescent="0.25">
      <c r="A786" s="24" t="s">
        <v>1137</v>
      </c>
      <c r="B786" s="24" t="s">
        <v>324</v>
      </c>
      <c r="C786" s="24" t="s">
        <v>324</v>
      </c>
      <c r="D786" s="24">
        <v>512904</v>
      </c>
      <c r="E786" s="24" t="s">
        <v>373</v>
      </c>
      <c r="F786" s="24">
        <v>9699193686</v>
      </c>
      <c r="G786" s="24" t="s">
        <v>1142</v>
      </c>
    </row>
    <row r="787" spans="1:7" ht="15.75" hidden="1" customHeight="1" x14ac:dyDescent="0.25">
      <c r="A787" s="24" t="s">
        <v>1137</v>
      </c>
      <c r="B787" s="24" t="s">
        <v>332</v>
      </c>
      <c r="C787" s="24" t="s">
        <v>330</v>
      </c>
      <c r="D787" s="24">
        <v>611129</v>
      </c>
      <c r="E787" s="24" t="s">
        <v>373</v>
      </c>
      <c r="F787" s="24">
        <v>9699193686</v>
      </c>
      <c r="G787" s="24" t="s">
        <v>1143</v>
      </c>
    </row>
    <row r="788" spans="1:7" ht="15.75" hidden="1" customHeight="1" x14ac:dyDescent="0.25">
      <c r="A788" s="24" t="s">
        <v>1137</v>
      </c>
      <c r="B788" s="24" t="s">
        <v>333</v>
      </c>
      <c r="C788" s="24" t="s">
        <v>334</v>
      </c>
      <c r="D788" s="24">
        <v>612106</v>
      </c>
      <c r="E788" s="24" t="s">
        <v>373</v>
      </c>
      <c r="F788" s="24">
        <v>9699193686</v>
      </c>
      <c r="G788" s="24" t="s">
        <v>1144</v>
      </c>
    </row>
    <row r="789" spans="1:7" ht="15.75" hidden="1" customHeight="1" x14ac:dyDescent="0.25">
      <c r="A789" s="24" t="s">
        <v>1137</v>
      </c>
      <c r="B789" s="24" t="s">
        <v>336</v>
      </c>
      <c r="C789" s="24" t="s">
        <v>336</v>
      </c>
      <c r="D789" s="24">
        <v>512883</v>
      </c>
      <c r="E789" s="24" t="s">
        <v>373</v>
      </c>
      <c r="F789" s="24">
        <v>9699193686</v>
      </c>
      <c r="G789" s="24" t="s">
        <v>1145</v>
      </c>
    </row>
    <row r="790" spans="1:7" ht="15.75" hidden="1" customHeight="1" x14ac:dyDescent="0.25">
      <c r="A790" s="24" t="s">
        <v>1137</v>
      </c>
      <c r="B790" s="24" t="s">
        <v>338</v>
      </c>
      <c r="C790" s="24" t="s">
        <v>338</v>
      </c>
      <c r="D790" s="24">
        <v>512908</v>
      </c>
      <c r="E790" s="24" t="s">
        <v>373</v>
      </c>
      <c r="F790" s="24">
        <v>9699193686</v>
      </c>
      <c r="G790" s="24" t="s">
        <v>1146</v>
      </c>
    </row>
    <row r="791" spans="1:7" ht="15.75" hidden="1" customHeight="1" x14ac:dyDescent="0.25">
      <c r="A791" s="24" t="s">
        <v>1137</v>
      </c>
      <c r="B791" s="24" t="s">
        <v>340</v>
      </c>
      <c r="C791" s="24" t="s">
        <v>340</v>
      </c>
      <c r="D791" s="24">
        <v>512903</v>
      </c>
      <c r="E791" s="24" t="s">
        <v>373</v>
      </c>
      <c r="F791" s="24">
        <v>9699193686</v>
      </c>
      <c r="G791" s="24" t="s">
        <v>1147</v>
      </c>
    </row>
    <row r="792" spans="1:7" ht="15.75" hidden="1" customHeight="1" x14ac:dyDescent="0.25">
      <c r="A792" s="24" t="s">
        <v>1137</v>
      </c>
      <c r="B792" s="24" t="s">
        <v>342</v>
      </c>
      <c r="C792" s="24" t="s">
        <v>342</v>
      </c>
      <c r="D792" s="24">
        <v>512903</v>
      </c>
      <c r="E792" s="24" t="s">
        <v>373</v>
      </c>
      <c r="F792" s="24">
        <v>9699193686</v>
      </c>
      <c r="G792" s="24" t="s">
        <v>1148</v>
      </c>
    </row>
    <row r="793" spans="1:7" ht="15.75" hidden="1" customHeight="1" x14ac:dyDescent="0.25">
      <c r="A793" s="24" t="s">
        <v>1137</v>
      </c>
      <c r="B793" s="24" t="s">
        <v>344</v>
      </c>
      <c r="C793" s="24" t="s">
        <v>345</v>
      </c>
      <c r="D793" s="24">
        <v>512985</v>
      </c>
      <c r="E793" s="24" t="s">
        <v>373</v>
      </c>
      <c r="F793" s="24">
        <v>9699193686</v>
      </c>
      <c r="G793" s="24" t="s">
        <v>1149</v>
      </c>
    </row>
    <row r="794" spans="1:7" ht="15.75" hidden="1" customHeight="1" x14ac:dyDescent="0.25">
      <c r="A794" s="24" t="s">
        <v>1137</v>
      </c>
      <c r="B794" s="24" t="s">
        <v>434</v>
      </c>
      <c r="C794" s="24" t="s">
        <v>348</v>
      </c>
      <c r="D794" s="24">
        <v>512884</v>
      </c>
      <c r="E794" s="24" t="s">
        <v>373</v>
      </c>
      <c r="F794" s="24">
        <v>9699193686</v>
      </c>
      <c r="G794" s="24" t="s">
        <v>1150</v>
      </c>
    </row>
    <row r="795" spans="1:7" ht="15.75" hidden="1" customHeight="1" x14ac:dyDescent="0.25">
      <c r="A795" s="24" t="s">
        <v>1137</v>
      </c>
      <c r="B795" s="24" t="s">
        <v>350</v>
      </c>
      <c r="C795" s="24" t="s">
        <v>351</v>
      </c>
      <c r="D795" s="24">
        <v>512902</v>
      </c>
      <c r="E795" s="24" t="s">
        <v>373</v>
      </c>
      <c r="F795" s="24">
        <v>9699193686</v>
      </c>
      <c r="G795" s="24" t="s">
        <v>1151</v>
      </c>
    </row>
    <row r="796" spans="1:7" ht="15.75" hidden="1" customHeight="1" x14ac:dyDescent="0.25">
      <c r="A796" s="24" t="s">
        <v>1137</v>
      </c>
      <c r="B796" s="24" t="s">
        <v>353</v>
      </c>
      <c r="C796" s="24" t="s">
        <v>353</v>
      </c>
      <c r="D796" s="24">
        <v>512885</v>
      </c>
      <c r="E796" s="24" t="s">
        <v>373</v>
      </c>
      <c r="F796" s="24">
        <v>9699193686</v>
      </c>
      <c r="G796" s="24" t="s">
        <v>1152</v>
      </c>
    </row>
    <row r="797" spans="1:7" ht="15.75" hidden="1" customHeight="1" x14ac:dyDescent="0.25">
      <c r="A797" s="27" t="s">
        <v>372</v>
      </c>
      <c r="B797" s="24" t="s">
        <v>1153</v>
      </c>
      <c r="C797" s="24" t="s">
        <v>852</v>
      </c>
      <c r="D797" s="24">
        <v>612105</v>
      </c>
      <c r="E797" s="24" t="s">
        <v>373</v>
      </c>
      <c r="F797" s="24">
        <v>9699193686</v>
      </c>
      <c r="G797" s="24" t="s">
        <v>855</v>
      </c>
    </row>
    <row r="798" spans="1:7" ht="15.75" hidden="1" customHeight="1" x14ac:dyDescent="0.25">
      <c r="A798" s="26" t="s">
        <v>389</v>
      </c>
      <c r="B798" s="24" t="s">
        <v>1153</v>
      </c>
      <c r="C798" s="24" t="s">
        <v>852</v>
      </c>
      <c r="D798" s="24">
        <v>612105</v>
      </c>
      <c r="E798" s="24" t="s">
        <v>373</v>
      </c>
      <c r="F798" s="24">
        <v>9699193686</v>
      </c>
      <c r="G798" s="24" t="s">
        <v>856</v>
      </c>
    </row>
    <row r="799" spans="1:7" ht="15.75" hidden="1" customHeight="1" x14ac:dyDescent="0.25">
      <c r="A799" s="24" t="s">
        <v>405</v>
      </c>
      <c r="B799" s="24" t="s">
        <v>1153</v>
      </c>
      <c r="C799" s="24" t="s">
        <v>852</v>
      </c>
      <c r="D799" s="24">
        <v>612105</v>
      </c>
      <c r="E799" s="24" t="s">
        <v>373</v>
      </c>
      <c r="F799" s="24">
        <v>9699193686</v>
      </c>
      <c r="G799" s="24" t="s">
        <v>857</v>
      </c>
    </row>
    <row r="800" spans="1:7" ht="15.75" hidden="1" customHeight="1" x14ac:dyDescent="0.25">
      <c r="A800" s="26" t="s">
        <v>421</v>
      </c>
      <c r="B800" s="24" t="s">
        <v>1153</v>
      </c>
      <c r="C800" s="24" t="s">
        <v>852</v>
      </c>
      <c r="D800" s="24">
        <v>612105</v>
      </c>
      <c r="E800" s="24" t="s">
        <v>373</v>
      </c>
      <c r="F800" s="24">
        <v>9699193686</v>
      </c>
      <c r="G800" s="24" t="s">
        <v>859</v>
      </c>
    </row>
    <row r="801" spans="1:7" ht="15.75" hidden="1" customHeight="1" x14ac:dyDescent="0.25">
      <c r="A801" s="24" t="s">
        <v>438</v>
      </c>
      <c r="B801" s="24" t="s">
        <v>1153</v>
      </c>
      <c r="C801" s="24" t="s">
        <v>852</v>
      </c>
      <c r="D801" s="24">
        <v>612105</v>
      </c>
      <c r="E801" s="24" t="s">
        <v>373</v>
      </c>
      <c r="F801" s="24">
        <v>9699193686</v>
      </c>
      <c r="G801" s="24" t="s">
        <v>860</v>
      </c>
    </row>
    <row r="802" spans="1:7" ht="15.75" hidden="1" customHeight="1" x14ac:dyDescent="0.25">
      <c r="A802" s="28" t="s">
        <v>807</v>
      </c>
      <c r="B802" s="24" t="s">
        <v>1153</v>
      </c>
      <c r="C802" s="24" t="s">
        <v>852</v>
      </c>
      <c r="D802" s="24">
        <v>612105</v>
      </c>
      <c r="E802" s="24" t="s">
        <v>373</v>
      </c>
      <c r="F802" s="24">
        <v>9699193686</v>
      </c>
      <c r="G802" s="24" t="s">
        <v>861</v>
      </c>
    </row>
    <row r="803" spans="1:7" ht="15.75" hidden="1" customHeight="1" x14ac:dyDescent="0.25">
      <c r="A803" s="24" t="s">
        <v>954</v>
      </c>
      <c r="B803" s="24" t="s">
        <v>1153</v>
      </c>
      <c r="C803" s="24" t="s">
        <v>852</v>
      </c>
      <c r="D803" s="24">
        <v>612105</v>
      </c>
      <c r="E803" s="24" t="s">
        <v>373</v>
      </c>
      <c r="F803" s="24">
        <v>9699193686</v>
      </c>
      <c r="G803" s="24" t="s">
        <v>973</v>
      </c>
    </row>
    <row r="804" spans="1:7" ht="15.75" hidden="1" customHeight="1" x14ac:dyDescent="0.25">
      <c r="A804" s="24" t="s">
        <v>990</v>
      </c>
      <c r="B804" s="24" t="s">
        <v>1153</v>
      </c>
      <c r="C804" s="24" t="s">
        <v>852</v>
      </c>
      <c r="D804" s="24">
        <v>612105</v>
      </c>
      <c r="E804" s="24" t="s">
        <v>373</v>
      </c>
      <c r="F804" s="24">
        <v>9699193686</v>
      </c>
      <c r="G804" s="24" t="s">
        <v>1010</v>
      </c>
    </row>
    <row r="805" spans="1:7" ht="15.75" hidden="1" customHeight="1" x14ac:dyDescent="0.25">
      <c r="A805" s="24" t="s">
        <v>1027</v>
      </c>
      <c r="B805" s="24" t="s">
        <v>1153</v>
      </c>
      <c r="C805" s="24" t="s">
        <v>852</v>
      </c>
      <c r="D805" s="24">
        <v>612105</v>
      </c>
      <c r="E805" s="24" t="s">
        <v>373</v>
      </c>
      <c r="F805" s="24">
        <v>9699193686</v>
      </c>
      <c r="G805" s="24" t="s">
        <v>1046</v>
      </c>
    </row>
    <row r="806" spans="1:7" ht="15.75" hidden="1" customHeight="1" x14ac:dyDescent="0.25">
      <c r="A806" s="24" t="s">
        <v>1117</v>
      </c>
      <c r="B806" s="24" t="s">
        <v>1153</v>
      </c>
      <c r="C806" s="24" t="s">
        <v>852</v>
      </c>
      <c r="D806" s="24">
        <v>612105</v>
      </c>
      <c r="E806" s="24" t="s">
        <v>373</v>
      </c>
      <c r="F806" s="24">
        <v>9699193686</v>
      </c>
      <c r="G806" s="24" t="s">
        <v>1136</v>
      </c>
    </row>
    <row r="807" spans="1:7" ht="15.75" hidden="1" customHeight="1" x14ac:dyDescent="0.25">
      <c r="A807" s="24" t="s">
        <v>1154</v>
      </c>
      <c r="B807" s="24" t="s">
        <v>469</v>
      </c>
      <c r="C807" s="24" t="s">
        <v>470</v>
      </c>
      <c r="D807" s="24">
        <v>512901</v>
      </c>
      <c r="E807" s="24" t="s">
        <v>491</v>
      </c>
      <c r="F807" s="24">
        <v>9699193721</v>
      </c>
      <c r="G807" s="24" t="s">
        <v>1155</v>
      </c>
    </row>
    <row r="808" spans="1:7" ht="15.75" hidden="1" customHeight="1" x14ac:dyDescent="0.25">
      <c r="A808" s="24" t="s">
        <v>1154</v>
      </c>
      <c r="B808" s="24" t="s">
        <v>459</v>
      </c>
      <c r="C808" s="24" t="s">
        <v>460</v>
      </c>
      <c r="D808" s="24">
        <v>512903</v>
      </c>
      <c r="E808" s="24" t="s">
        <v>491</v>
      </c>
      <c r="F808" s="24">
        <v>9699193721</v>
      </c>
      <c r="G808" s="24" t="s">
        <v>1156</v>
      </c>
    </row>
    <row r="809" spans="1:7" ht="15.75" hidden="1" customHeight="1" x14ac:dyDescent="0.25">
      <c r="A809" s="24" t="s">
        <v>1154</v>
      </c>
      <c r="B809" s="24" t="s">
        <v>463</v>
      </c>
      <c r="C809" s="24" t="s">
        <v>464</v>
      </c>
      <c r="D809" s="24">
        <v>512903</v>
      </c>
      <c r="E809" s="24" t="s">
        <v>491</v>
      </c>
      <c r="F809" s="24">
        <v>9699193721</v>
      </c>
      <c r="G809" s="24" t="s">
        <v>1157</v>
      </c>
    </row>
    <row r="810" spans="1:7" ht="15.75" hidden="1" customHeight="1" x14ac:dyDescent="0.25">
      <c r="A810" s="24" t="s">
        <v>1154</v>
      </c>
      <c r="B810" s="24" t="s">
        <v>466</v>
      </c>
      <c r="C810" s="24" t="s">
        <v>467</v>
      </c>
      <c r="D810" s="24">
        <v>512903</v>
      </c>
      <c r="E810" s="24" t="s">
        <v>491</v>
      </c>
      <c r="F810" s="24">
        <v>9699193721</v>
      </c>
      <c r="G810" s="24" t="s">
        <v>1158</v>
      </c>
    </row>
    <row r="811" spans="1:7" ht="15.75" hidden="1" customHeight="1" x14ac:dyDescent="0.25">
      <c r="A811" s="24" t="s">
        <v>1154</v>
      </c>
      <c r="B811" s="24" t="s">
        <v>480</v>
      </c>
      <c r="C811" s="24" t="s">
        <v>481</v>
      </c>
      <c r="D811" s="24">
        <v>512916</v>
      </c>
      <c r="E811" s="24" t="s">
        <v>491</v>
      </c>
      <c r="F811" s="24">
        <v>9699193721</v>
      </c>
      <c r="G811" s="24" t="s">
        <v>1159</v>
      </c>
    </row>
    <row r="812" spans="1:7" ht="15.75" hidden="1" customHeight="1" x14ac:dyDescent="0.25">
      <c r="A812" s="24" t="s">
        <v>1154</v>
      </c>
      <c r="B812" s="24" t="s">
        <v>483</v>
      </c>
      <c r="C812" s="24" t="s">
        <v>484</v>
      </c>
      <c r="D812" s="24">
        <v>512915</v>
      </c>
      <c r="E812" s="24" t="s">
        <v>491</v>
      </c>
      <c r="F812" s="24">
        <v>9699193721</v>
      </c>
      <c r="G812" s="24" t="s">
        <v>1160</v>
      </c>
    </row>
    <row r="813" spans="1:7" ht="15.75" hidden="1" customHeight="1" x14ac:dyDescent="0.25">
      <c r="A813" s="24" t="s">
        <v>1154</v>
      </c>
      <c r="B813" s="24" t="s">
        <v>486</v>
      </c>
      <c r="C813" s="24" t="s">
        <v>484</v>
      </c>
      <c r="D813" s="24">
        <v>512915</v>
      </c>
      <c r="E813" s="24" t="s">
        <v>491</v>
      </c>
      <c r="F813" s="24">
        <v>9699193721</v>
      </c>
      <c r="G813" s="24" t="s">
        <v>1160</v>
      </c>
    </row>
    <row r="814" spans="1:7" ht="15.75" hidden="1" customHeight="1" x14ac:dyDescent="0.25">
      <c r="A814" s="24" t="s">
        <v>1154</v>
      </c>
      <c r="B814" s="24" t="s">
        <v>487</v>
      </c>
      <c r="C814" s="24" t="s">
        <v>488</v>
      </c>
      <c r="D814" s="24">
        <v>512907</v>
      </c>
      <c r="E814" s="24" t="s">
        <v>491</v>
      </c>
      <c r="F814" s="24">
        <v>9699193721</v>
      </c>
      <c r="G814" s="24" t="s">
        <v>1161</v>
      </c>
    </row>
    <row r="815" spans="1:7" ht="15.75" hidden="1" customHeight="1" x14ac:dyDescent="0.25">
      <c r="A815" s="24" t="s">
        <v>1154</v>
      </c>
      <c r="B815" s="24" t="s">
        <v>477</v>
      </c>
      <c r="C815" s="24" t="s">
        <v>478</v>
      </c>
      <c r="D815" s="24">
        <v>512901</v>
      </c>
      <c r="E815" s="24" t="s">
        <v>491</v>
      </c>
      <c r="F815" s="24">
        <v>9699193721</v>
      </c>
      <c r="G815" s="24" t="s">
        <v>1162</v>
      </c>
    </row>
    <row r="816" spans="1:7" ht="15.75" hidden="1" customHeight="1" x14ac:dyDescent="0.25">
      <c r="A816" s="24" t="s">
        <v>1154</v>
      </c>
      <c r="B816" s="24" t="s">
        <v>472</v>
      </c>
      <c r="C816" s="24" t="s">
        <v>473</v>
      </c>
      <c r="D816" s="24">
        <v>512985</v>
      </c>
      <c r="E816" s="24" t="s">
        <v>491</v>
      </c>
      <c r="F816" s="24">
        <v>9699193721</v>
      </c>
      <c r="G816" s="24" t="s">
        <v>1163</v>
      </c>
    </row>
    <row r="817" spans="1:7" ht="15.75" hidden="1" customHeight="1" x14ac:dyDescent="0.25">
      <c r="A817" s="24" t="s">
        <v>1154</v>
      </c>
      <c r="B817" s="24" t="s">
        <v>322</v>
      </c>
      <c r="C817" s="24" t="s">
        <v>322</v>
      </c>
      <c r="D817" s="24">
        <v>611129</v>
      </c>
      <c r="E817" s="24" t="s">
        <v>552</v>
      </c>
      <c r="F817" s="24">
        <v>9699193721</v>
      </c>
      <c r="G817" s="24" t="s">
        <v>1164</v>
      </c>
    </row>
    <row r="818" spans="1:7" ht="15.75" hidden="1" customHeight="1" x14ac:dyDescent="0.25">
      <c r="A818" s="24" t="s">
        <v>1165</v>
      </c>
      <c r="B818" s="24" t="s">
        <v>313</v>
      </c>
      <c r="C818" s="24" t="s">
        <v>314</v>
      </c>
      <c r="D818" s="24">
        <v>612105</v>
      </c>
      <c r="E818" s="24" t="s">
        <v>373</v>
      </c>
      <c r="F818" s="24">
        <v>9699193686</v>
      </c>
      <c r="G818" s="24" t="s">
        <v>1166</v>
      </c>
    </row>
    <row r="819" spans="1:7" ht="15.75" hidden="1" customHeight="1" x14ac:dyDescent="0.25">
      <c r="A819" s="24" t="s">
        <v>1165</v>
      </c>
      <c r="B819" s="24" t="s">
        <v>317</v>
      </c>
      <c r="C819" s="24" t="s">
        <v>318</v>
      </c>
      <c r="D819" s="24">
        <v>612105</v>
      </c>
      <c r="E819" s="24" t="s">
        <v>373</v>
      </c>
      <c r="F819" s="24">
        <v>9699193686</v>
      </c>
      <c r="G819" s="24" t="s">
        <v>1167</v>
      </c>
    </row>
    <row r="820" spans="1:7" ht="15.75" hidden="1" customHeight="1" x14ac:dyDescent="0.25">
      <c r="A820" s="24" t="s">
        <v>1165</v>
      </c>
      <c r="B820" s="24" t="s">
        <v>320</v>
      </c>
      <c r="C820" s="24" t="s">
        <v>320</v>
      </c>
      <c r="D820" s="24">
        <v>611128</v>
      </c>
      <c r="E820" s="24" t="s">
        <v>373</v>
      </c>
      <c r="F820" s="24">
        <v>9699193686</v>
      </c>
      <c r="G820" s="24" t="s">
        <v>1168</v>
      </c>
    </row>
    <row r="821" spans="1:7" ht="15.75" hidden="1" customHeight="1" x14ac:dyDescent="0.25">
      <c r="A821" s="24" t="s">
        <v>1165</v>
      </c>
      <c r="B821" s="24" t="s">
        <v>322</v>
      </c>
      <c r="C821" s="24" t="s">
        <v>322</v>
      </c>
      <c r="D821" s="24">
        <v>611129</v>
      </c>
      <c r="E821" s="24" t="s">
        <v>373</v>
      </c>
      <c r="F821" s="24">
        <v>9699193686</v>
      </c>
      <c r="G821" s="24" t="s">
        <v>1169</v>
      </c>
    </row>
    <row r="822" spans="1:7" ht="15.75" hidden="1" customHeight="1" x14ac:dyDescent="0.25">
      <c r="A822" s="24" t="s">
        <v>1165</v>
      </c>
      <c r="B822" s="24" t="s">
        <v>324</v>
      </c>
      <c r="C822" s="24" t="s">
        <v>324</v>
      </c>
      <c r="D822" s="24">
        <v>512904</v>
      </c>
      <c r="E822" s="24" t="s">
        <v>373</v>
      </c>
      <c r="F822" s="24">
        <v>9699193686</v>
      </c>
      <c r="G822" s="24" t="s">
        <v>1170</v>
      </c>
    </row>
    <row r="823" spans="1:7" ht="15.75" hidden="1" customHeight="1" x14ac:dyDescent="0.25">
      <c r="A823" s="24" t="s">
        <v>1165</v>
      </c>
      <c r="B823" s="24" t="s">
        <v>332</v>
      </c>
      <c r="C823" s="24" t="s">
        <v>330</v>
      </c>
      <c r="D823" s="24">
        <v>611129</v>
      </c>
      <c r="E823" s="24" t="s">
        <v>373</v>
      </c>
      <c r="F823" s="24">
        <v>9699193686</v>
      </c>
      <c r="G823" s="24" t="s">
        <v>1171</v>
      </c>
    </row>
    <row r="824" spans="1:7" ht="15.75" hidden="1" customHeight="1" x14ac:dyDescent="0.25">
      <c r="A824" s="24" t="s">
        <v>1165</v>
      </c>
      <c r="B824" s="24" t="s">
        <v>333</v>
      </c>
      <c r="C824" s="24" t="s">
        <v>334</v>
      </c>
      <c r="D824" s="24">
        <v>612106</v>
      </c>
      <c r="E824" s="24" t="s">
        <v>373</v>
      </c>
      <c r="F824" s="24">
        <v>9699193686</v>
      </c>
      <c r="G824" s="24" t="s">
        <v>1172</v>
      </c>
    </row>
    <row r="825" spans="1:7" ht="15.75" hidden="1" customHeight="1" x14ac:dyDescent="0.25">
      <c r="A825" s="24" t="s">
        <v>1165</v>
      </c>
      <c r="B825" s="24" t="s">
        <v>336</v>
      </c>
      <c r="C825" s="24" t="s">
        <v>336</v>
      </c>
      <c r="D825" s="24">
        <v>512883</v>
      </c>
      <c r="E825" s="24" t="s">
        <v>373</v>
      </c>
      <c r="F825" s="24">
        <v>9699193686</v>
      </c>
      <c r="G825" s="24" t="s">
        <v>1173</v>
      </c>
    </row>
    <row r="826" spans="1:7" ht="15.75" hidden="1" customHeight="1" x14ac:dyDescent="0.25">
      <c r="A826" s="24" t="s">
        <v>1165</v>
      </c>
      <c r="B826" s="24" t="s">
        <v>338</v>
      </c>
      <c r="C826" s="24" t="s">
        <v>338</v>
      </c>
      <c r="D826" s="24">
        <v>512908</v>
      </c>
      <c r="E826" s="24" t="s">
        <v>373</v>
      </c>
      <c r="F826" s="24">
        <v>9699193686</v>
      </c>
      <c r="G826" s="24" t="s">
        <v>1174</v>
      </c>
    </row>
    <row r="827" spans="1:7" ht="15.75" hidden="1" customHeight="1" x14ac:dyDescent="0.25">
      <c r="A827" s="24" t="s">
        <v>1165</v>
      </c>
      <c r="B827" s="24" t="s">
        <v>340</v>
      </c>
      <c r="C827" s="24" t="s">
        <v>340</v>
      </c>
      <c r="D827" s="24">
        <v>512903</v>
      </c>
      <c r="E827" s="24" t="s">
        <v>373</v>
      </c>
      <c r="F827" s="24">
        <v>9699193686</v>
      </c>
      <c r="G827" s="24" t="s">
        <v>1175</v>
      </c>
    </row>
    <row r="828" spans="1:7" ht="15.75" hidden="1" customHeight="1" x14ac:dyDescent="0.25">
      <c r="A828" s="24" t="s">
        <v>1165</v>
      </c>
      <c r="B828" s="24" t="s">
        <v>342</v>
      </c>
      <c r="C828" s="24" t="s">
        <v>342</v>
      </c>
      <c r="D828" s="24">
        <v>512903</v>
      </c>
      <c r="E828" s="24" t="s">
        <v>373</v>
      </c>
      <c r="F828" s="24">
        <v>9699193686</v>
      </c>
      <c r="G828" s="24" t="s">
        <v>1176</v>
      </c>
    </row>
    <row r="829" spans="1:7" ht="15.75" hidden="1" customHeight="1" x14ac:dyDescent="0.25">
      <c r="A829" s="24" t="s">
        <v>1165</v>
      </c>
      <c r="B829" s="24" t="s">
        <v>344</v>
      </c>
      <c r="C829" s="24" t="s">
        <v>345</v>
      </c>
      <c r="D829" s="24">
        <v>512985</v>
      </c>
      <c r="E829" s="24" t="s">
        <v>373</v>
      </c>
      <c r="F829" s="24">
        <v>9699193686</v>
      </c>
      <c r="G829" s="24" t="s">
        <v>1177</v>
      </c>
    </row>
    <row r="830" spans="1:7" ht="15.75" hidden="1" customHeight="1" x14ac:dyDescent="0.25">
      <c r="A830" s="24" t="s">
        <v>1165</v>
      </c>
      <c r="B830" s="24" t="s">
        <v>347</v>
      </c>
      <c r="C830" s="24" t="s">
        <v>348</v>
      </c>
      <c r="D830" s="24">
        <v>512884</v>
      </c>
      <c r="E830" s="24" t="s">
        <v>373</v>
      </c>
      <c r="F830" s="24">
        <v>9699193686</v>
      </c>
      <c r="G830" s="24" t="s">
        <v>1178</v>
      </c>
    </row>
    <row r="831" spans="1:7" ht="15.75" hidden="1" customHeight="1" x14ac:dyDescent="0.25">
      <c r="A831" s="24" t="s">
        <v>1165</v>
      </c>
      <c r="B831" s="24" t="s">
        <v>350</v>
      </c>
      <c r="C831" s="24" t="s">
        <v>351</v>
      </c>
      <c r="D831" s="24">
        <v>512902</v>
      </c>
      <c r="E831" s="24" t="s">
        <v>373</v>
      </c>
      <c r="F831" s="24">
        <v>9699193686</v>
      </c>
      <c r="G831" s="24" t="s">
        <v>1179</v>
      </c>
    </row>
    <row r="832" spans="1:7" ht="15.75" hidden="1" customHeight="1" x14ac:dyDescent="0.25">
      <c r="A832" s="24" t="s">
        <v>1165</v>
      </c>
      <c r="B832" s="24" t="s">
        <v>353</v>
      </c>
      <c r="C832" s="24" t="s">
        <v>353</v>
      </c>
      <c r="D832" s="24">
        <v>512885</v>
      </c>
      <c r="E832" s="24" t="s">
        <v>373</v>
      </c>
      <c r="F832" s="24">
        <v>9699193686</v>
      </c>
      <c r="G832" s="24" t="s">
        <v>1180</v>
      </c>
    </row>
    <row r="833" spans="1:7" ht="15.75" hidden="1" customHeight="1" x14ac:dyDescent="0.25">
      <c r="A833" s="24" t="s">
        <v>1165</v>
      </c>
      <c r="B833" s="24" t="s">
        <v>851</v>
      </c>
      <c r="C833" s="24" t="s">
        <v>852</v>
      </c>
      <c r="D833" s="24">
        <v>612105</v>
      </c>
      <c r="E833" s="24" t="s">
        <v>373</v>
      </c>
      <c r="F833" s="24">
        <v>9699193686</v>
      </c>
      <c r="G833" s="24" t="s">
        <v>1181</v>
      </c>
    </row>
    <row r="834" spans="1:7" ht="15.75" hidden="1" customHeight="1" x14ac:dyDescent="0.25">
      <c r="A834" s="24" t="s">
        <v>1165</v>
      </c>
      <c r="B834" s="24" t="s">
        <v>862</v>
      </c>
      <c r="C834" s="24" t="s">
        <v>863</v>
      </c>
      <c r="D834" s="24">
        <v>612105</v>
      </c>
      <c r="E834" s="24" t="s">
        <v>373</v>
      </c>
      <c r="F834" s="24">
        <v>9699193686</v>
      </c>
      <c r="G834" s="24" t="s">
        <v>1182</v>
      </c>
    </row>
    <row r="835" spans="1:7" ht="15.75" hidden="1" customHeight="1" x14ac:dyDescent="0.25">
      <c r="A835" s="24" t="s">
        <v>1165</v>
      </c>
      <c r="B835" s="24" t="s">
        <v>946</v>
      </c>
      <c r="C835" s="24" t="s">
        <v>453</v>
      </c>
      <c r="D835" s="24">
        <v>512916</v>
      </c>
      <c r="E835" s="24" t="s">
        <v>373</v>
      </c>
      <c r="F835" s="24">
        <v>9699193686</v>
      </c>
      <c r="G835" s="24" t="s">
        <v>1183</v>
      </c>
    </row>
    <row r="836" spans="1:7" ht="15.75" hidden="1" customHeight="1" x14ac:dyDescent="0.25">
      <c r="A836" s="24" t="s">
        <v>1165</v>
      </c>
      <c r="B836" s="24" t="s">
        <v>822</v>
      </c>
      <c r="C836" s="24" t="s">
        <v>823</v>
      </c>
      <c r="D836" s="24">
        <v>612105</v>
      </c>
      <c r="E836" s="24" t="s">
        <v>373</v>
      </c>
      <c r="F836" s="24">
        <v>9699193686</v>
      </c>
      <c r="G836" s="24" t="s">
        <v>1184</v>
      </c>
    </row>
    <row r="837" spans="1:7" ht="15.75" hidden="1" customHeight="1" x14ac:dyDescent="0.25">
      <c r="A837" s="24" t="s">
        <v>1165</v>
      </c>
      <c r="B837" s="24" t="s">
        <v>949</v>
      </c>
      <c r="C837" s="24" t="s">
        <v>823</v>
      </c>
      <c r="D837" s="24">
        <v>612105</v>
      </c>
      <c r="E837" s="24" t="s">
        <v>373</v>
      </c>
      <c r="F837" s="24">
        <v>9699193686</v>
      </c>
      <c r="G837" s="24" t="s">
        <v>1184</v>
      </c>
    </row>
    <row r="838" spans="1:7" ht="15.75" hidden="1" customHeight="1" x14ac:dyDescent="0.25">
      <c r="A838" s="24" t="s">
        <v>1165</v>
      </c>
      <c r="B838" s="24" t="s">
        <v>1153</v>
      </c>
      <c r="C838" s="24" t="s">
        <v>852</v>
      </c>
      <c r="D838" s="24">
        <v>612105</v>
      </c>
      <c r="E838" s="24" t="s">
        <v>373</v>
      </c>
      <c r="F838" s="24">
        <v>9699193686</v>
      </c>
      <c r="G838" s="24" t="s">
        <v>1181</v>
      </c>
    </row>
    <row r="839" spans="1:7" ht="15.75" hidden="1" customHeight="1" x14ac:dyDescent="0.25">
      <c r="A839" s="24" t="s">
        <v>1185</v>
      </c>
      <c r="B839" s="24" t="s">
        <v>313</v>
      </c>
      <c r="C839" s="24" t="s">
        <v>314</v>
      </c>
      <c r="D839" s="24">
        <v>612105</v>
      </c>
      <c r="E839" s="24" t="s">
        <v>373</v>
      </c>
      <c r="F839" s="24">
        <v>9699193686</v>
      </c>
      <c r="G839" s="24" t="s">
        <v>1186</v>
      </c>
    </row>
    <row r="840" spans="1:7" ht="15.75" hidden="1" customHeight="1" x14ac:dyDescent="0.25">
      <c r="A840" s="24" t="s">
        <v>1185</v>
      </c>
      <c r="B840" s="24" t="s">
        <v>317</v>
      </c>
      <c r="C840" s="24" t="s">
        <v>318</v>
      </c>
      <c r="D840" s="24">
        <v>612105</v>
      </c>
      <c r="E840" s="24" t="s">
        <v>373</v>
      </c>
      <c r="F840" s="24">
        <v>9699193686</v>
      </c>
      <c r="G840" s="24" t="s">
        <v>1187</v>
      </c>
    </row>
    <row r="841" spans="1:7" ht="15.75" hidden="1" customHeight="1" x14ac:dyDescent="0.25">
      <c r="A841" s="24" t="s">
        <v>1185</v>
      </c>
      <c r="B841" s="24" t="s">
        <v>320</v>
      </c>
      <c r="C841" s="24" t="s">
        <v>320</v>
      </c>
      <c r="D841" s="24">
        <v>611128</v>
      </c>
      <c r="E841" s="24" t="s">
        <v>373</v>
      </c>
      <c r="F841" s="24">
        <v>9699193686</v>
      </c>
      <c r="G841" s="24" t="s">
        <v>1188</v>
      </c>
    </row>
    <row r="842" spans="1:7" ht="15.75" hidden="1" customHeight="1" x14ac:dyDescent="0.25">
      <c r="A842" s="24" t="s">
        <v>1185</v>
      </c>
      <c r="B842" s="24" t="s">
        <v>322</v>
      </c>
      <c r="C842" s="24" t="s">
        <v>322</v>
      </c>
      <c r="D842" s="24">
        <v>611129</v>
      </c>
      <c r="E842" s="24" t="s">
        <v>373</v>
      </c>
      <c r="F842" s="24">
        <v>9699193686</v>
      </c>
      <c r="G842" s="24" t="s">
        <v>1189</v>
      </c>
    </row>
    <row r="843" spans="1:7" ht="15.75" hidden="1" customHeight="1" x14ac:dyDescent="0.25">
      <c r="A843" s="24" t="s">
        <v>1185</v>
      </c>
      <c r="B843" s="24" t="s">
        <v>324</v>
      </c>
      <c r="C843" s="24" t="s">
        <v>324</v>
      </c>
      <c r="D843" s="24">
        <v>512904</v>
      </c>
      <c r="E843" s="24" t="s">
        <v>373</v>
      </c>
      <c r="F843" s="24">
        <v>9699193686</v>
      </c>
      <c r="G843" s="24" t="s">
        <v>1190</v>
      </c>
    </row>
    <row r="844" spans="1:7" ht="15.75" hidden="1" customHeight="1" x14ac:dyDescent="0.25">
      <c r="A844" s="24" t="s">
        <v>1185</v>
      </c>
      <c r="B844" s="24" t="s">
        <v>332</v>
      </c>
      <c r="C844" s="24" t="s">
        <v>330</v>
      </c>
      <c r="D844" s="24">
        <v>611129</v>
      </c>
      <c r="E844" s="24" t="s">
        <v>373</v>
      </c>
      <c r="F844" s="24">
        <v>9699193686</v>
      </c>
      <c r="G844" s="24" t="s">
        <v>1191</v>
      </c>
    </row>
    <row r="845" spans="1:7" ht="15.75" hidden="1" customHeight="1" x14ac:dyDescent="0.25">
      <c r="A845" s="24" t="s">
        <v>1185</v>
      </c>
      <c r="B845" s="24" t="s">
        <v>333</v>
      </c>
      <c r="C845" s="24" t="s">
        <v>334</v>
      </c>
      <c r="D845" s="24">
        <v>612106</v>
      </c>
      <c r="E845" s="24" t="s">
        <v>373</v>
      </c>
      <c r="F845" s="24">
        <v>9699193686</v>
      </c>
      <c r="G845" s="24" t="s">
        <v>1192</v>
      </c>
    </row>
    <row r="846" spans="1:7" ht="15.75" hidden="1" customHeight="1" x14ac:dyDescent="0.25">
      <c r="A846" s="24" t="s">
        <v>1185</v>
      </c>
      <c r="B846" s="24" t="s">
        <v>336</v>
      </c>
      <c r="C846" s="24" t="s">
        <v>336</v>
      </c>
      <c r="D846" s="24">
        <v>512883</v>
      </c>
      <c r="E846" s="24" t="s">
        <v>373</v>
      </c>
      <c r="F846" s="24">
        <v>9699193686</v>
      </c>
      <c r="G846" s="24" t="s">
        <v>1193</v>
      </c>
    </row>
    <row r="847" spans="1:7" ht="15.75" hidden="1" customHeight="1" x14ac:dyDescent="0.25">
      <c r="A847" s="24" t="s">
        <v>1185</v>
      </c>
      <c r="B847" s="24" t="s">
        <v>338</v>
      </c>
      <c r="C847" s="24" t="s">
        <v>338</v>
      </c>
      <c r="D847" s="24">
        <v>512908</v>
      </c>
      <c r="E847" s="24" t="s">
        <v>373</v>
      </c>
      <c r="F847" s="24">
        <v>9699193686</v>
      </c>
      <c r="G847" s="24" t="s">
        <v>1194</v>
      </c>
    </row>
    <row r="848" spans="1:7" ht="15.75" hidden="1" customHeight="1" x14ac:dyDescent="0.25">
      <c r="A848" s="24" t="s">
        <v>1185</v>
      </c>
      <c r="B848" s="24" t="s">
        <v>340</v>
      </c>
      <c r="C848" s="24" t="s">
        <v>340</v>
      </c>
      <c r="D848" s="24">
        <v>512903</v>
      </c>
      <c r="E848" s="24" t="s">
        <v>373</v>
      </c>
      <c r="F848" s="24">
        <v>9699193686</v>
      </c>
      <c r="G848" s="24" t="s">
        <v>1195</v>
      </c>
    </row>
    <row r="849" spans="1:7" ht="15.75" hidden="1" customHeight="1" x14ac:dyDescent="0.25">
      <c r="A849" s="24" t="s">
        <v>1185</v>
      </c>
      <c r="B849" s="24" t="s">
        <v>342</v>
      </c>
      <c r="C849" s="24" t="s">
        <v>342</v>
      </c>
      <c r="D849" s="24">
        <v>512903</v>
      </c>
      <c r="E849" s="24" t="s">
        <v>373</v>
      </c>
      <c r="F849" s="24">
        <v>9699193686</v>
      </c>
      <c r="G849" s="24" t="s">
        <v>1196</v>
      </c>
    </row>
    <row r="850" spans="1:7" ht="15.75" hidden="1" customHeight="1" x14ac:dyDescent="0.25">
      <c r="A850" s="24" t="s">
        <v>1185</v>
      </c>
      <c r="B850" s="24" t="s">
        <v>344</v>
      </c>
      <c r="C850" s="24" t="s">
        <v>345</v>
      </c>
      <c r="D850" s="24">
        <v>512985</v>
      </c>
      <c r="E850" s="24" t="s">
        <v>373</v>
      </c>
      <c r="F850" s="24">
        <v>9699193686</v>
      </c>
      <c r="G850" s="24" t="s">
        <v>1197</v>
      </c>
    </row>
    <row r="851" spans="1:7" ht="15.75" hidden="1" customHeight="1" x14ac:dyDescent="0.25">
      <c r="A851" s="24" t="s">
        <v>1185</v>
      </c>
      <c r="B851" s="24" t="s">
        <v>347</v>
      </c>
      <c r="C851" s="24" t="s">
        <v>348</v>
      </c>
      <c r="D851" s="24">
        <v>512884</v>
      </c>
      <c r="E851" s="24" t="s">
        <v>373</v>
      </c>
      <c r="F851" s="24">
        <v>9699193686</v>
      </c>
      <c r="G851" s="24" t="s">
        <v>1198</v>
      </c>
    </row>
    <row r="852" spans="1:7" ht="15.75" hidden="1" customHeight="1" x14ac:dyDescent="0.25">
      <c r="A852" s="24" t="s">
        <v>1185</v>
      </c>
      <c r="B852" s="24" t="s">
        <v>350</v>
      </c>
      <c r="C852" s="24" t="s">
        <v>351</v>
      </c>
      <c r="D852" s="24">
        <v>512902</v>
      </c>
      <c r="E852" s="24" t="s">
        <v>373</v>
      </c>
      <c r="F852" s="24">
        <v>9699193686</v>
      </c>
      <c r="G852" s="24" t="s">
        <v>1199</v>
      </c>
    </row>
    <row r="853" spans="1:7" ht="15.75" hidden="1" customHeight="1" x14ac:dyDescent="0.25">
      <c r="A853" s="24" t="s">
        <v>1185</v>
      </c>
      <c r="B853" s="24" t="s">
        <v>353</v>
      </c>
      <c r="C853" s="24" t="s">
        <v>353</v>
      </c>
      <c r="D853" s="24">
        <v>512885</v>
      </c>
      <c r="E853" s="24" t="s">
        <v>373</v>
      </c>
      <c r="F853" s="24">
        <v>9699193686</v>
      </c>
      <c r="G853" s="24" t="s">
        <v>1200</v>
      </c>
    </row>
    <row r="854" spans="1:7" ht="15.75" hidden="1" customHeight="1" x14ac:dyDescent="0.25">
      <c r="A854" s="24" t="s">
        <v>1185</v>
      </c>
      <c r="B854" s="24" t="s">
        <v>851</v>
      </c>
      <c r="C854" s="24" t="s">
        <v>852</v>
      </c>
      <c r="D854" s="24">
        <v>612105</v>
      </c>
      <c r="E854" s="24" t="s">
        <v>373</v>
      </c>
      <c r="F854" s="24">
        <v>9699193686</v>
      </c>
      <c r="G854" s="24" t="s">
        <v>1201</v>
      </c>
    </row>
    <row r="855" spans="1:7" ht="15.75" hidden="1" customHeight="1" x14ac:dyDescent="0.25">
      <c r="A855" s="24" t="s">
        <v>1185</v>
      </c>
      <c r="B855" s="24" t="s">
        <v>862</v>
      </c>
      <c r="C855" s="24" t="s">
        <v>863</v>
      </c>
      <c r="D855" s="24">
        <v>612105</v>
      </c>
      <c r="E855" s="24" t="s">
        <v>373</v>
      </c>
      <c r="F855" s="24">
        <v>9699193686</v>
      </c>
      <c r="G855" s="24" t="s">
        <v>1202</v>
      </c>
    </row>
    <row r="856" spans="1:7" ht="15.75" hidden="1" customHeight="1" x14ac:dyDescent="0.25">
      <c r="A856" s="24" t="s">
        <v>1185</v>
      </c>
      <c r="B856" s="24" t="s">
        <v>946</v>
      </c>
      <c r="C856" s="24" t="s">
        <v>453</v>
      </c>
      <c r="D856" s="24">
        <v>512916</v>
      </c>
      <c r="E856" s="24" t="s">
        <v>373</v>
      </c>
      <c r="F856" s="24">
        <v>9699193686</v>
      </c>
      <c r="G856" s="24" t="s">
        <v>1203</v>
      </c>
    </row>
    <row r="857" spans="1:7" ht="15.75" hidden="1" customHeight="1" x14ac:dyDescent="0.25">
      <c r="A857" s="24" t="s">
        <v>1185</v>
      </c>
      <c r="B857" s="24" t="s">
        <v>822</v>
      </c>
      <c r="C857" s="24" t="s">
        <v>823</v>
      </c>
      <c r="D857" s="24">
        <v>612105</v>
      </c>
      <c r="E857" s="24" t="s">
        <v>373</v>
      </c>
      <c r="F857" s="24">
        <v>9699193686</v>
      </c>
      <c r="G857" s="24" t="s">
        <v>1204</v>
      </c>
    </row>
    <row r="858" spans="1:7" ht="15.75" hidden="1" customHeight="1" x14ac:dyDescent="0.25">
      <c r="A858" s="24" t="s">
        <v>1185</v>
      </c>
      <c r="B858" s="24" t="s">
        <v>949</v>
      </c>
      <c r="C858" s="24" t="s">
        <v>823</v>
      </c>
      <c r="D858" s="24">
        <v>612105</v>
      </c>
      <c r="E858" s="24" t="s">
        <v>373</v>
      </c>
      <c r="F858" s="24">
        <v>9699193686</v>
      </c>
      <c r="G858" s="24" t="s">
        <v>1204</v>
      </c>
    </row>
    <row r="859" spans="1:7" ht="15.75" hidden="1" customHeight="1" x14ac:dyDescent="0.25">
      <c r="A859" s="24" t="s">
        <v>1185</v>
      </c>
      <c r="B859" s="24" t="s">
        <v>1153</v>
      </c>
      <c r="C859" s="24" t="s">
        <v>852</v>
      </c>
      <c r="D859" s="24">
        <v>612105</v>
      </c>
      <c r="E859" s="24" t="s">
        <v>373</v>
      </c>
      <c r="F859" s="24">
        <v>9699193686</v>
      </c>
      <c r="G859" s="24" t="s">
        <v>1201</v>
      </c>
    </row>
    <row r="860" spans="1:7" ht="15.75" hidden="1" customHeight="1" x14ac:dyDescent="0.25">
      <c r="A860" s="24" t="s">
        <v>1205</v>
      </c>
      <c r="B860" s="24" t="s">
        <v>313</v>
      </c>
      <c r="C860" s="24" t="s">
        <v>314</v>
      </c>
      <c r="D860" s="24">
        <v>612105</v>
      </c>
      <c r="E860" s="24" t="s">
        <v>373</v>
      </c>
      <c r="F860" s="24">
        <v>9699193686</v>
      </c>
      <c r="G860" s="24" t="s">
        <v>1206</v>
      </c>
    </row>
    <row r="861" spans="1:7" ht="15.75" hidden="1" customHeight="1" x14ac:dyDescent="0.25">
      <c r="A861" s="24" t="s">
        <v>1205</v>
      </c>
      <c r="B861" s="24" t="s">
        <v>317</v>
      </c>
      <c r="C861" s="24" t="s">
        <v>318</v>
      </c>
      <c r="D861" s="24">
        <v>612105</v>
      </c>
      <c r="E861" s="24" t="s">
        <v>373</v>
      </c>
      <c r="F861" s="24">
        <v>9699193686</v>
      </c>
      <c r="G861" s="24" t="s">
        <v>1207</v>
      </c>
    </row>
    <row r="862" spans="1:7" ht="15.75" hidden="1" customHeight="1" x14ac:dyDescent="0.25">
      <c r="A862" s="24" t="s">
        <v>1205</v>
      </c>
      <c r="B862" s="24" t="s">
        <v>320</v>
      </c>
      <c r="C862" s="24" t="s">
        <v>320</v>
      </c>
      <c r="D862" s="24">
        <v>611128</v>
      </c>
      <c r="E862" s="24" t="s">
        <v>373</v>
      </c>
      <c r="F862" s="24">
        <v>9699193686</v>
      </c>
      <c r="G862" s="24" t="s">
        <v>1208</v>
      </c>
    </row>
    <row r="863" spans="1:7" ht="15.75" hidden="1" customHeight="1" x14ac:dyDescent="0.25">
      <c r="A863" s="24" t="s">
        <v>1205</v>
      </c>
      <c r="B863" s="24" t="s">
        <v>322</v>
      </c>
      <c r="C863" s="24" t="s">
        <v>322</v>
      </c>
      <c r="D863" s="24">
        <v>611129</v>
      </c>
      <c r="E863" s="24" t="s">
        <v>373</v>
      </c>
      <c r="F863" s="24">
        <v>9699193686</v>
      </c>
      <c r="G863" s="24" t="s">
        <v>1209</v>
      </c>
    </row>
    <row r="864" spans="1:7" ht="15.75" hidden="1" customHeight="1" x14ac:dyDescent="0.25">
      <c r="A864" s="24" t="s">
        <v>1205</v>
      </c>
      <c r="B864" s="24" t="s">
        <v>324</v>
      </c>
      <c r="C864" s="24" t="s">
        <v>324</v>
      </c>
      <c r="D864" s="24">
        <v>512904</v>
      </c>
      <c r="E864" s="24" t="s">
        <v>373</v>
      </c>
      <c r="F864" s="24">
        <v>9699193686</v>
      </c>
      <c r="G864" s="24" t="s">
        <v>1210</v>
      </c>
    </row>
    <row r="865" spans="1:7" ht="15.75" hidden="1" customHeight="1" x14ac:dyDescent="0.25">
      <c r="A865" s="24" t="s">
        <v>1205</v>
      </c>
      <c r="B865" s="24" t="s">
        <v>332</v>
      </c>
      <c r="C865" s="24" t="s">
        <v>330</v>
      </c>
      <c r="D865" s="24">
        <v>611129</v>
      </c>
      <c r="E865" s="24" t="s">
        <v>373</v>
      </c>
      <c r="F865" s="24">
        <v>9699193686</v>
      </c>
      <c r="G865" s="24" t="s">
        <v>1211</v>
      </c>
    </row>
    <row r="866" spans="1:7" ht="15.75" hidden="1" customHeight="1" x14ac:dyDescent="0.25">
      <c r="A866" s="24" t="s">
        <v>1205</v>
      </c>
      <c r="B866" s="24" t="s">
        <v>333</v>
      </c>
      <c r="C866" s="24" t="s">
        <v>334</v>
      </c>
      <c r="D866" s="24">
        <v>612106</v>
      </c>
      <c r="E866" s="24" t="s">
        <v>373</v>
      </c>
      <c r="F866" s="24">
        <v>9699193686</v>
      </c>
      <c r="G866" s="24" t="s">
        <v>1212</v>
      </c>
    </row>
    <row r="867" spans="1:7" ht="15.75" hidden="1" customHeight="1" x14ac:dyDescent="0.25">
      <c r="A867" s="24" t="s">
        <v>1205</v>
      </c>
      <c r="B867" s="24" t="s">
        <v>336</v>
      </c>
      <c r="C867" s="24" t="s">
        <v>336</v>
      </c>
      <c r="D867" s="24">
        <v>512883</v>
      </c>
      <c r="E867" s="24" t="s">
        <v>373</v>
      </c>
      <c r="F867" s="24">
        <v>9699193686</v>
      </c>
      <c r="G867" s="24" t="s">
        <v>1213</v>
      </c>
    </row>
    <row r="868" spans="1:7" ht="15.75" hidden="1" customHeight="1" x14ac:dyDescent="0.25">
      <c r="A868" s="24" t="s">
        <v>1205</v>
      </c>
      <c r="B868" s="24" t="s">
        <v>338</v>
      </c>
      <c r="C868" s="24" t="s">
        <v>338</v>
      </c>
      <c r="D868" s="24">
        <v>512908</v>
      </c>
      <c r="E868" s="24" t="s">
        <v>373</v>
      </c>
      <c r="F868" s="24">
        <v>9699193686</v>
      </c>
      <c r="G868" s="24" t="s">
        <v>1214</v>
      </c>
    </row>
    <row r="869" spans="1:7" ht="15.75" hidden="1" customHeight="1" x14ac:dyDescent="0.25">
      <c r="A869" s="24" t="s">
        <v>1205</v>
      </c>
      <c r="B869" s="24" t="s">
        <v>340</v>
      </c>
      <c r="C869" s="24" t="s">
        <v>340</v>
      </c>
      <c r="D869" s="24">
        <v>512903</v>
      </c>
      <c r="E869" s="24" t="s">
        <v>373</v>
      </c>
      <c r="F869" s="24">
        <v>9699193686</v>
      </c>
      <c r="G869" s="24" t="s">
        <v>1215</v>
      </c>
    </row>
    <row r="870" spans="1:7" ht="15.75" hidden="1" customHeight="1" x14ac:dyDescent="0.25">
      <c r="A870" s="24" t="s">
        <v>1205</v>
      </c>
      <c r="B870" s="24" t="s">
        <v>342</v>
      </c>
      <c r="C870" s="24" t="s">
        <v>342</v>
      </c>
      <c r="D870" s="24">
        <v>512903</v>
      </c>
      <c r="E870" s="24" t="s">
        <v>373</v>
      </c>
      <c r="F870" s="24">
        <v>9699193686</v>
      </c>
      <c r="G870" s="24" t="s">
        <v>1216</v>
      </c>
    </row>
    <row r="871" spans="1:7" ht="15.75" hidden="1" customHeight="1" x14ac:dyDescent="0.25">
      <c r="A871" s="24" t="s">
        <v>1205</v>
      </c>
      <c r="B871" s="24" t="s">
        <v>344</v>
      </c>
      <c r="C871" s="24" t="s">
        <v>345</v>
      </c>
      <c r="D871" s="24">
        <v>512985</v>
      </c>
      <c r="E871" s="24" t="s">
        <v>373</v>
      </c>
      <c r="F871" s="24">
        <v>9699193686</v>
      </c>
      <c r="G871" s="24" t="s">
        <v>1217</v>
      </c>
    </row>
    <row r="872" spans="1:7" ht="15.75" hidden="1" customHeight="1" x14ac:dyDescent="0.25">
      <c r="A872" s="24" t="s">
        <v>1205</v>
      </c>
      <c r="B872" s="24" t="s">
        <v>347</v>
      </c>
      <c r="C872" s="24" t="s">
        <v>348</v>
      </c>
      <c r="D872" s="24">
        <v>512884</v>
      </c>
      <c r="E872" s="24" t="s">
        <v>373</v>
      </c>
      <c r="F872" s="24">
        <v>9699193686</v>
      </c>
      <c r="G872" s="24" t="s">
        <v>1218</v>
      </c>
    </row>
    <row r="873" spans="1:7" ht="15.75" hidden="1" customHeight="1" x14ac:dyDescent="0.25">
      <c r="A873" s="24" t="s">
        <v>1205</v>
      </c>
      <c r="B873" s="24" t="s">
        <v>350</v>
      </c>
      <c r="C873" s="24" t="s">
        <v>351</v>
      </c>
      <c r="D873" s="24">
        <v>512902</v>
      </c>
      <c r="E873" s="24" t="s">
        <v>373</v>
      </c>
      <c r="F873" s="24">
        <v>9699193686</v>
      </c>
      <c r="G873" s="24" t="s">
        <v>1219</v>
      </c>
    </row>
    <row r="874" spans="1:7" ht="15.75" hidden="1" customHeight="1" x14ac:dyDescent="0.25">
      <c r="A874" s="24" t="s">
        <v>1205</v>
      </c>
      <c r="B874" s="24" t="s">
        <v>353</v>
      </c>
      <c r="C874" s="24" t="s">
        <v>353</v>
      </c>
      <c r="D874" s="24">
        <v>512885</v>
      </c>
      <c r="E874" s="24" t="s">
        <v>373</v>
      </c>
      <c r="F874" s="24">
        <v>9699193686</v>
      </c>
      <c r="G874" s="24" t="s">
        <v>1220</v>
      </c>
    </row>
    <row r="875" spans="1:7" ht="15.75" hidden="1" customHeight="1" x14ac:dyDescent="0.25">
      <c r="A875" s="24" t="s">
        <v>1205</v>
      </c>
      <c r="B875" s="24" t="s">
        <v>851</v>
      </c>
      <c r="C875" s="24" t="s">
        <v>852</v>
      </c>
      <c r="D875" s="24">
        <v>612105</v>
      </c>
      <c r="E875" s="24" t="s">
        <v>373</v>
      </c>
      <c r="F875" s="24">
        <v>9699193686</v>
      </c>
      <c r="G875" s="24" t="s">
        <v>1221</v>
      </c>
    </row>
    <row r="876" spans="1:7" ht="15.75" hidden="1" customHeight="1" x14ac:dyDescent="0.25">
      <c r="A876" s="24" t="s">
        <v>1205</v>
      </c>
      <c r="B876" s="24" t="s">
        <v>862</v>
      </c>
      <c r="C876" s="24" t="s">
        <v>863</v>
      </c>
      <c r="D876" s="24">
        <v>612105</v>
      </c>
      <c r="E876" s="24" t="s">
        <v>373</v>
      </c>
      <c r="F876" s="24">
        <v>9699193686</v>
      </c>
      <c r="G876" s="24" t="s">
        <v>1222</v>
      </c>
    </row>
    <row r="877" spans="1:7" ht="15.75" hidden="1" customHeight="1" x14ac:dyDescent="0.25">
      <c r="A877" s="24" t="s">
        <v>1205</v>
      </c>
      <c r="B877" s="24" t="s">
        <v>946</v>
      </c>
      <c r="C877" s="24" t="s">
        <v>453</v>
      </c>
      <c r="D877" s="24">
        <v>512916</v>
      </c>
      <c r="E877" s="24" t="s">
        <v>373</v>
      </c>
      <c r="F877" s="24">
        <v>9699193686</v>
      </c>
      <c r="G877" s="24" t="s">
        <v>1223</v>
      </c>
    </row>
    <row r="878" spans="1:7" ht="15.75" hidden="1" customHeight="1" x14ac:dyDescent="0.25">
      <c r="A878" s="24" t="s">
        <v>1205</v>
      </c>
      <c r="B878" s="24" t="s">
        <v>822</v>
      </c>
      <c r="C878" s="24" t="s">
        <v>823</v>
      </c>
      <c r="D878" s="24">
        <v>612105</v>
      </c>
      <c r="E878" s="24" t="s">
        <v>373</v>
      </c>
      <c r="F878" s="24">
        <v>9699193686</v>
      </c>
      <c r="G878" s="24" t="s">
        <v>1224</v>
      </c>
    </row>
    <row r="879" spans="1:7" ht="15.75" hidden="1" customHeight="1" x14ac:dyDescent="0.25">
      <c r="A879" s="24" t="s">
        <v>1205</v>
      </c>
      <c r="B879" s="24" t="s">
        <v>949</v>
      </c>
      <c r="C879" s="24" t="s">
        <v>823</v>
      </c>
      <c r="D879" s="24">
        <v>612105</v>
      </c>
      <c r="E879" s="24" t="s">
        <v>373</v>
      </c>
      <c r="F879" s="24">
        <v>9699193686</v>
      </c>
      <c r="G879" s="24" t="s">
        <v>1224</v>
      </c>
    </row>
    <row r="880" spans="1:7" ht="15.75" hidden="1" customHeight="1" x14ac:dyDescent="0.25">
      <c r="A880" s="24" t="s">
        <v>1205</v>
      </c>
      <c r="B880" s="24" t="s">
        <v>1153</v>
      </c>
      <c r="C880" s="24" t="s">
        <v>852</v>
      </c>
      <c r="D880" s="24">
        <v>612105</v>
      </c>
      <c r="E880" s="24" t="s">
        <v>373</v>
      </c>
      <c r="F880" s="24">
        <v>9699193686</v>
      </c>
      <c r="G880" s="24" t="s">
        <v>1221</v>
      </c>
    </row>
    <row r="881" spans="1:7" ht="15.75" hidden="1" customHeight="1" x14ac:dyDescent="0.25">
      <c r="A881" s="24" t="s">
        <v>1225</v>
      </c>
      <c r="B881" s="24" t="s">
        <v>313</v>
      </c>
      <c r="C881" s="24" t="s">
        <v>314</v>
      </c>
      <c r="D881" s="24">
        <v>612105</v>
      </c>
      <c r="E881" s="24" t="s">
        <v>373</v>
      </c>
      <c r="F881" s="24">
        <v>9699193686</v>
      </c>
      <c r="G881" s="24" t="s">
        <v>1226</v>
      </c>
    </row>
    <row r="882" spans="1:7" ht="15.75" hidden="1" customHeight="1" x14ac:dyDescent="0.25">
      <c r="A882" s="24" t="s">
        <v>1225</v>
      </c>
      <c r="B882" s="24" t="s">
        <v>317</v>
      </c>
      <c r="C882" s="24" t="s">
        <v>318</v>
      </c>
      <c r="D882" s="24">
        <v>612105</v>
      </c>
      <c r="E882" s="24" t="s">
        <v>373</v>
      </c>
      <c r="F882" s="24">
        <v>9699193686</v>
      </c>
      <c r="G882" s="24" t="s">
        <v>1227</v>
      </c>
    </row>
    <row r="883" spans="1:7" ht="15.75" hidden="1" customHeight="1" x14ac:dyDescent="0.25">
      <c r="A883" s="24" t="s">
        <v>1225</v>
      </c>
      <c r="B883" s="24" t="s">
        <v>320</v>
      </c>
      <c r="C883" s="24" t="s">
        <v>320</v>
      </c>
      <c r="D883" s="24">
        <v>611128</v>
      </c>
      <c r="E883" s="24" t="s">
        <v>373</v>
      </c>
      <c r="F883" s="24">
        <v>9699193686</v>
      </c>
      <c r="G883" s="24" t="s">
        <v>1228</v>
      </c>
    </row>
    <row r="884" spans="1:7" ht="15.75" hidden="1" customHeight="1" x14ac:dyDescent="0.25">
      <c r="A884" s="24" t="s">
        <v>1225</v>
      </c>
      <c r="B884" s="24" t="s">
        <v>322</v>
      </c>
      <c r="C884" s="24" t="s">
        <v>322</v>
      </c>
      <c r="D884" s="24">
        <v>611129</v>
      </c>
      <c r="E884" s="24" t="s">
        <v>373</v>
      </c>
      <c r="F884" s="24">
        <v>9699193686</v>
      </c>
      <c r="G884" s="24" t="s">
        <v>1229</v>
      </c>
    </row>
    <row r="885" spans="1:7" ht="15.75" hidden="1" customHeight="1" x14ac:dyDescent="0.25">
      <c r="A885" s="24" t="s">
        <v>1225</v>
      </c>
      <c r="B885" s="24" t="s">
        <v>324</v>
      </c>
      <c r="C885" s="24" t="s">
        <v>324</v>
      </c>
      <c r="D885" s="24">
        <v>512904</v>
      </c>
      <c r="E885" s="24" t="s">
        <v>373</v>
      </c>
      <c r="F885" s="24">
        <v>9699193686</v>
      </c>
      <c r="G885" s="24" t="s">
        <v>1230</v>
      </c>
    </row>
    <row r="886" spans="1:7" ht="15.75" hidden="1" customHeight="1" x14ac:dyDescent="0.25">
      <c r="A886" s="24" t="s">
        <v>1225</v>
      </c>
      <c r="B886" s="24" t="s">
        <v>332</v>
      </c>
      <c r="C886" s="24" t="s">
        <v>330</v>
      </c>
      <c r="D886" s="24">
        <v>611129</v>
      </c>
      <c r="E886" s="24" t="s">
        <v>373</v>
      </c>
      <c r="F886" s="24">
        <v>9699193686</v>
      </c>
      <c r="G886" s="24" t="s">
        <v>1231</v>
      </c>
    </row>
    <row r="887" spans="1:7" ht="15.75" hidden="1" customHeight="1" x14ac:dyDescent="0.25">
      <c r="A887" s="24" t="s">
        <v>1225</v>
      </c>
      <c r="B887" s="24" t="s">
        <v>333</v>
      </c>
      <c r="C887" s="24" t="s">
        <v>334</v>
      </c>
      <c r="D887" s="24">
        <v>612106</v>
      </c>
      <c r="E887" s="24" t="s">
        <v>373</v>
      </c>
      <c r="F887" s="24">
        <v>9699193686</v>
      </c>
      <c r="G887" s="24" t="s">
        <v>1232</v>
      </c>
    </row>
    <row r="888" spans="1:7" ht="15.75" hidden="1" customHeight="1" x14ac:dyDescent="0.25">
      <c r="A888" s="24" t="s">
        <v>1225</v>
      </c>
      <c r="B888" s="24" t="s">
        <v>336</v>
      </c>
      <c r="C888" s="24" t="s">
        <v>336</v>
      </c>
      <c r="D888" s="24">
        <v>512883</v>
      </c>
      <c r="E888" s="24" t="s">
        <v>373</v>
      </c>
      <c r="F888" s="24">
        <v>9699193686</v>
      </c>
      <c r="G888" s="24" t="s">
        <v>1233</v>
      </c>
    </row>
    <row r="889" spans="1:7" ht="15.75" hidden="1" customHeight="1" x14ac:dyDescent="0.25">
      <c r="A889" s="24" t="s">
        <v>1225</v>
      </c>
      <c r="B889" s="24" t="s">
        <v>338</v>
      </c>
      <c r="C889" s="24" t="s">
        <v>338</v>
      </c>
      <c r="D889" s="24">
        <v>512908</v>
      </c>
      <c r="E889" s="24" t="s">
        <v>373</v>
      </c>
      <c r="F889" s="24">
        <v>9699193686</v>
      </c>
      <c r="G889" s="24" t="s">
        <v>1234</v>
      </c>
    </row>
    <row r="890" spans="1:7" ht="15.75" hidden="1" customHeight="1" x14ac:dyDescent="0.25">
      <c r="A890" s="24" t="s">
        <v>1225</v>
      </c>
      <c r="B890" s="24" t="s">
        <v>340</v>
      </c>
      <c r="C890" s="24" t="s">
        <v>340</v>
      </c>
      <c r="D890" s="24">
        <v>512903</v>
      </c>
      <c r="E890" s="24" t="s">
        <v>373</v>
      </c>
      <c r="F890" s="24">
        <v>9699193686</v>
      </c>
      <c r="G890" s="24" t="s">
        <v>1235</v>
      </c>
    </row>
    <row r="891" spans="1:7" ht="15.75" hidden="1" customHeight="1" x14ac:dyDescent="0.25">
      <c r="A891" s="24" t="s">
        <v>1225</v>
      </c>
      <c r="B891" s="24" t="s">
        <v>342</v>
      </c>
      <c r="C891" s="24" t="s">
        <v>342</v>
      </c>
      <c r="D891" s="24">
        <v>512903</v>
      </c>
      <c r="E891" s="24" t="s">
        <v>373</v>
      </c>
      <c r="F891" s="24">
        <v>9699193686</v>
      </c>
      <c r="G891" s="24" t="s">
        <v>1236</v>
      </c>
    </row>
    <row r="892" spans="1:7" ht="15.75" hidden="1" customHeight="1" x14ac:dyDescent="0.25">
      <c r="A892" s="24" t="s">
        <v>1225</v>
      </c>
      <c r="B892" s="24" t="s">
        <v>344</v>
      </c>
      <c r="C892" s="24" t="s">
        <v>345</v>
      </c>
      <c r="D892" s="24">
        <v>512985</v>
      </c>
      <c r="E892" s="24" t="s">
        <v>373</v>
      </c>
      <c r="F892" s="24">
        <v>9699193686</v>
      </c>
      <c r="G892" s="24" t="s">
        <v>1237</v>
      </c>
    </row>
    <row r="893" spans="1:7" ht="15.75" hidden="1" customHeight="1" x14ac:dyDescent="0.25">
      <c r="A893" s="24" t="s">
        <v>1225</v>
      </c>
      <c r="B893" s="24" t="s">
        <v>347</v>
      </c>
      <c r="C893" s="24" t="s">
        <v>348</v>
      </c>
      <c r="D893" s="24">
        <v>512884</v>
      </c>
      <c r="E893" s="24" t="s">
        <v>373</v>
      </c>
      <c r="F893" s="24">
        <v>9699193686</v>
      </c>
      <c r="G893" s="24" t="s">
        <v>1238</v>
      </c>
    </row>
    <row r="894" spans="1:7" ht="15.75" hidden="1" customHeight="1" x14ac:dyDescent="0.25">
      <c r="A894" s="24" t="s">
        <v>1225</v>
      </c>
      <c r="B894" s="24" t="s">
        <v>350</v>
      </c>
      <c r="C894" s="24" t="s">
        <v>351</v>
      </c>
      <c r="D894" s="24">
        <v>512902</v>
      </c>
      <c r="E894" s="24" t="s">
        <v>373</v>
      </c>
      <c r="F894" s="24">
        <v>9699193686</v>
      </c>
      <c r="G894" s="24" t="s">
        <v>1239</v>
      </c>
    </row>
    <row r="895" spans="1:7" ht="15.75" hidden="1" customHeight="1" x14ac:dyDescent="0.25">
      <c r="A895" s="24" t="s">
        <v>1225</v>
      </c>
      <c r="B895" s="24" t="s">
        <v>353</v>
      </c>
      <c r="C895" s="24" t="s">
        <v>353</v>
      </c>
      <c r="D895" s="24">
        <v>512885</v>
      </c>
      <c r="E895" s="24" t="s">
        <v>373</v>
      </c>
      <c r="F895" s="24">
        <v>9699193686</v>
      </c>
      <c r="G895" s="24" t="s">
        <v>1240</v>
      </c>
    </row>
    <row r="896" spans="1:7" ht="15.75" hidden="1" customHeight="1" x14ac:dyDescent="0.25">
      <c r="A896" s="24" t="s">
        <v>1225</v>
      </c>
      <c r="B896" s="24" t="s">
        <v>851</v>
      </c>
      <c r="C896" s="24" t="s">
        <v>852</v>
      </c>
      <c r="D896" s="24">
        <v>612105</v>
      </c>
      <c r="E896" s="24" t="s">
        <v>373</v>
      </c>
      <c r="F896" s="24">
        <v>9699193686</v>
      </c>
      <c r="G896" s="24" t="s">
        <v>1241</v>
      </c>
    </row>
    <row r="897" spans="1:7" ht="15.75" hidden="1" customHeight="1" x14ac:dyDescent="0.25">
      <c r="A897" s="24" t="s">
        <v>1225</v>
      </c>
      <c r="B897" s="24" t="s">
        <v>862</v>
      </c>
      <c r="C897" s="24" t="s">
        <v>863</v>
      </c>
      <c r="D897" s="24">
        <v>612105</v>
      </c>
      <c r="E897" s="24" t="s">
        <v>373</v>
      </c>
      <c r="F897" s="24">
        <v>9699193686</v>
      </c>
      <c r="G897" s="24" t="s">
        <v>1242</v>
      </c>
    </row>
    <row r="898" spans="1:7" ht="15.75" hidden="1" customHeight="1" x14ac:dyDescent="0.25">
      <c r="A898" s="24" t="s">
        <v>1225</v>
      </c>
      <c r="B898" s="24" t="s">
        <v>946</v>
      </c>
      <c r="C898" s="24" t="s">
        <v>453</v>
      </c>
      <c r="D898" s="24">
        <v>512916</v>
      </c>
      <c r="E898" s="24" t="s">
        <v>373</v>
      </c>
      <c r="F898" s="24">
        <v>9699193686</v>
      </c>
      <c r="G898" s="24" t="s">
        <v>1243</v>
      </c>
    </row>
    <row r="899" spans="1:7" ht="15.75" hidden="1" customHeight="1" x14ac:dyDescent="0.25">
      <c r="A899" s="24" t="s">
        <v>1225</v>
      </c>
      <c r="B899" s="24" t="s">
        <v>822</v>
      </c>
      <c r="C899" s="24" t="s">
        <v>823</v>
      </c>
      <c r="D899" s="24">
        <v>612105</v>
      </c>
      <c r="E899" s="24" t="s">
        <v>373</v>
      </c>
      <c r="F899" s="24">
        <v>9699193686</v>
      </c>
      <c r="G899" s="24" t="s">
        <v>1244</v>
      </c>
    </row>
    <row r="900" spans="1:7" ht="15.75" hidden="1" customHeight="1" x14ac:dyDescent="0.25">
      <c r="A900" s="24" t="s">
        <v>1225</v>
      </c>
      <c r="B900" s="24" t="s">
        <v>949</v>
      </c>
      <c r="C900" s="24" t="s">
        <v>823</v>
      </c>
      <c r="D900" s="24">
        <v>612105</v>
      </c>
      <c r="E900" s="24" t="s">
        <v>373</v>
      </c>
      <c r="F900" s="24">
        <v>9699193686</v>
      </c>
      <c r="G900" s="24" t="s">
        <v>1244</v>
      </c>
    </row>
    <row r="901" spans="1:7" ht="15.75" hidden="1" customHeight="1" x14ac:dyDescent="0.25">
      <c r="A901" s="24" t="s">
        <v>1225</v>
      </c>
      <c r="B901" s="24" t="s">
        <v>1153</v>
      </c>
      <c r="C901" s="24" t="s">
        <v>852</v>
      </c>
      <c r="D901" s="24">
        <v>612105</v>
      </c>
      <c r="E901" s="24" t="s">
        <v>373</v>
      </c>
      <c r="F901" s="24">
        <v>9699193686</v>
      </c>
      <c r="G901" s="24" t="s">
        <v>1241</v>
      </c>
    </row>
    <row r="902" spans="1:7" ht="15.75" hidden="1" customHeight="1" x14ac:dyDescent="0.25">
      <c r="A902" s="24" t="s">
        <v>1245</v>
      </c>
      <c r="B902" s="24" t="s">
        <v>313</v>
      </c>
      <c r="C902" s="24" t="s">
        <v>314</v>
      </c>
      <c r="D902" s="24">
        <v>612105</v>
      </c>
      <c r="E902" s="24" t="s">
        <v>373</v>
      </c>
      <c r="F902" s="24">
        <v>9699193686</v>
      </c>
      <c r="G902" s="24" t="s">
        <v>1246</v>
      </c>
    </row>
    <row r="903" spans="1:7" ht="15.75" hidden="1" customHeight="1" x14ac:dyDescent="0.25">
      <c r="A903" s="24" t="s">
        <v>1245</v>
      </c>
      <c r="B903" s="24" t="s">
        <v>317</v>
      </c>
      <c r="C903" s="24" t="s">
        <v>318</v>
      </c>
      <c r="D903" s="24">
        <v>612105</v>
      </c>
      <c r="E903" s="24" t="s">
        <v>373</v>
      </c>
      <c r="F903" s="24">
        <v>9699193686</v>
      </c>
      <c r="G903" s="24" t="s">
        <v>1247</v>
      </c>
    </row>
    <row r="904" spans="1:7" ht="15.75" hidden="1" customHeight="1" x14ac:dyDescent="0.25">
      <c r="A904" s="24" t="s">
        <v>1245</v>
      </c>
      <c r="B904" s="24" t="s">
        <v>320</v>
      </c>
      <c r="C904" s="24" t="s">
        <v>320</v>
      </c>
      <c r="D904" s="24">
        <v>611128</v>
      </c>
      <c r="E904" s="24" t="s">
        <v>373</v>
      </c>
      <c r="F904" s="24">
        <v>9699193686</v>
      </c>
      <c r="G904" s="24" t="s">
        <v>1248</v>
      </c>
    </row>
    <row r="905" spans="1:7" ht="15.75" hidden="1" customHeight="1" x14ac:dyDescent="0.25">
      <c r="A905" s="24" t="s">
        <v>1245</v>
      </c>
      <c r="B905" s="24" t="s">
        <v>322</v>
      </c>
      <c r="C905" s="24" t="s">
        <v>322</v>
      </c>
      <c r="D905" s="24">
        <v>611129</v>
      </c>
      <c r="E905" s="24" t="s">
        <v>373</v>
      </c>
      <c r="F905" s="24">
        <v>9699193686</v>
      </c>
      <c r="G905" s="24" t="s">
        <v>1249</v>
      </c>
    </row>
    <row r="906" spans="1:7" ht="15.75" hidden="1" customHeight="1" x14ac:dyDescent="0.25">
      <c r="A906" s="24" t="s">
        <v>1245</v>
      </c>
      <c r="B906" s="24" t="s">
        <v>324</v>
      </c>
      <c r="C906" s="24" t="s">
        <v>324</v>
      </c>
      <c r="D906" s="24">
        <v>512904</v>
      </c>
      <c r="E906" s="24" t="s">
        <v>373</v>
      </c>
      <c r="F906" s="24">
        <v>9699193686</v>
      </c>
      <c r="G906" s="24" t="s">
        <v>1250</v>
      </c>
    </row>
    <row r="907" spans="1:7" ht="15.75" hidden="1" customHeight="1" x14ac:dyDescent="0.25">
      <c r="A907" s="24" t="s">
        <v>1245</v>
      </c>
      <c r="B907" s="24" t="s">
        <v>332</v>
      </c>
      <c r="C907" s="24" t="s">
        <v>330</v>
      </c>
      <c r="D907" s="24">
        <v>611129</v>
      </c>
      <c r="E907" s="24" t="s">
        <v>373</v>
      </c>
      <c r="F907" s="24">
        <v>9699193686</v>
      </c>
      <c r="G907" s="24" t="s">
        <v>1251</v>
      </c>
    </row>
    <row r="908" spans="1:7" ht="15.75" hidden="1" customHeight="1" x14ac:dyDescent="0.25">
      <c r="A908" s="24" t="s">
        <v>1245</v>
      </c>
      <c r="B908" s="24" t="s">
        <v>333</v>
      </c>
      <c r="C908" s="24" t="s">
        <v>334</v>
      </c>
      <c r="D908" s="24">
        <v>612106</v>
      </c>
      <c r="E908" s="24" t="s">
        <v>373</v>
      </c>
      <c r="F908" s="24">
        <v>9699193686</v>
      </c>
      <c r="G908" s="24" t="s">
        <v>1252</v>
      </c>
    </row>
    <row r="909" spans="1:7" ht="15.75" hidden="1" customHeight="1" x14ac:dyDescent="0.25">
      <c r="A909" s="24" t="s">
        <v>1245</v>
      </c>
      <c r="B909" s="24" t="s">
        <v>336</v>
      </c>
      <c r="C909" s="24" t="s">
        <v>336</v>
      </c>
      <c r="D909" s="24">
        <v>512883</v>
      </c>
      <c r="E909" s="24" t="s">
        <v>373</v>
      </c>
      <c r="F909" s="24">
        <v>9699193686</v>
      </c>
      <c r="G909" s="24" t="s">
        <v>1253</v>
      </c>
    </row>
    <row r="910" spans="1:7" ht="15.75" hidden="1" customHeight="1" x14ac:dyDescent="0.25">
      <c r="A910" s="24" t="s">
        <v>1245</v>
      </c>
      <c r="B910" s="24" t="s">
        <v>338</v>
      </c>
      <c r="C910" s="24" t="s">
        <v>338</v>
      </c>
      <c r="D910" s="24">
        <v>512908</v>
      </c>
      <c r="E910" s="24" t="s">
        <v>373</v>
      </c>
      <c r="F910" s="24">
        <v>9699193686</v>
      </c>
      <c r="G910" s="24" t="s">
        <v>1254</v>
      </c>
    </row>
    <row r="911" spans="1:7" ht="15.75" hidden="1" customHeight="1" x14ac:dyDescent="0.25">
      <c r="A911" s="24" t="s">
        <v>1245</v>
      </c>
      <c r="B911" s="24" t="s">
        <v>340</v>
      </c>
      <c r="C911" s="24" t="s">
        <v>340</v>
      </c>
      <c r="D911" s="24">
        <v>512903</v>
      </c>
      <c r="E911" s="24" t="s">
        <v>373</v>
      </c>
      <c r="F911" s="24">
        <v>9699193686</v>
      </c>
      <c r="G911" s="24" t="s">
        <v>1255</v>
      </c>
    </row>
    <row r="912" spans="1:7" ht="15.75" hidden="1" customHeight="1" x14ac:dyDescent="0.25">
      <c r="A912" s="24" t="s">
        <v>1245</v>
      </c>
      <c r="B912" s="24" t="s">
        <v>342</v>
      </c>
      <c r="C912" s="24" t="s">
        <v>342</v>
      </c>
      <c r="D912" s="24">
        <v>512903</v>
      </c>
      <c r="E912" s="24" t="s">
        <v>373</v>
      </c>
      <c r="F912" s="24">
        <v>9699193686</v>
      </c>
      <c r="G912" s="24" t="s">
        <v>1256</v>
      </c>
    </row>
    <row r="913" spans="1:26" ht="15.75" hidden="1" customHeight="1" x14ac:dyDescent="0.25">
      <c r="A913" s="24" t="s">
        <v>1245</v>
      </c>
      <c r="B913" s="24" t="s">
        <v>344</v>
      </c>
      <c r="C913" s="24" t="s">
        <v>345</v>
      </c>
      <c r="D913" s="24">
        <v>512985</v>
      </c>
      <c r="E913" s="24" t="s">
        <v>373</v>
      </c>
      <c r="F913" s="24">
        <v>9699193686</v>
      </c>
      <c r="G913" s="24" t="s">
        <v>1257</v>
      </c>
    </row>
    <row r="914" spans="1:26" ht="15.75" hidden="1" customHeight="1" x14ac:dyDescent="0.25">
      <c r="A914" s="24" t="s">
        <v>1245</v>
      </c>
      <c r="B914" s="24" t="s">
        <v>347</v>
      </c>
      <c r="C914" s="24" t="s">
        <v>348</v>
      </c>
      <c r="D914" s="24">
        <v>512884</v>
      </c>
      <c r="E914" s="24" t="s">
        <v>373</v>
      </c>
      <c r="F914" s="24">
        <v>9699193686</v>
      </c>
      <c r="G914" s="24" t="s">
        <v>1258</v>
      </c>
    </row>
    <row r="915" spans="1:26" ht="15.75" hidden="1" customHeight="1" x14ac:dyDescent="0.25">
      <c r="A915" s="24" t="s">
        <v>1245</v>
      </c>
      <c r="B915" s="24" t="s">
        <v>350</v>
      </c>
      <c r="C915" s="24" t="s">
        <v>351</v>
      </c>
      <c r="D915" s="24">
        <v>512902</v>
      </c>
      <c r="E915" s="24" t="s">
        <v>373</v>
      </c>
      <c r="F915" s="24">
        <v>9699193686</v>
      </c>
      <c r="G915" s="24" t="s">
        <v>1259</v>
      </c>
    </row>
    <row r="916" spans="1:26" ht="15.75" hidden="1" customHeight="1" x14ac:dyDescent="0.25">
      <c r="A916" s="24" t="s">
        <v>1245</v>
      </c>
      <c r="B916" s="24" t="s">
        <v>353</v>
      </c>
      <c r="C916" s="24" t="s">
        <v>353</v>
      </c>
      <c r="D916" s="24">
        <v>512885</v>
      </c>
      <c r="E916" s="24" t="s">
        <v>373</v>
      </c>
      <c r="F916" s="24">
        <v>9699193686</v>
      </c>
      <c r="G916" s="24" t="s">
        <v>1260</v>
      </c>
    </row>
    <row r="917" spans="1:26" ht="15.75" hidden="1" customHeight="1" x14ac:dyDescent="0.25">
      <c r="A917" s="24" t="s">
        <v>1245</v>
      </c>
      <c r="B917" s="24" t="s">
        <v>851</v>
      </c>
      <c r="C917" s="24" t="s">
        <v>852</v>
      </c>
      <c r="D917" s="24">
        <v>612105</v>
      </c>
      <c r="E917" s="24" t="s">
        <v>373</v>
      </c>
      <c r="F917" s="24">
        <v>9699193686</v>
      </c>
      <c r="G917" s="24" t="s">
        <v>1261</v>
      </c>
    </row>
    <row r="918" spans="1:26" ht="15.75" hidden="1" customHeight="1" x14ac:dyDescent="0.25">
      <c r="A918" s="24" t="s">
        <v>1245</v>
      </c>
      <c r="B918" s="24" t="s">
        <v>862</v>
      </c>
      <c r="C918" s="24" t="s">
        <v>863</v>
      </c>
      <c r="D918" s="24">
        <v>612105</v>
      </c>
      <c r="E918" s="24" t="s">
        <v>373</v>
      </c>
      <c r="F918" s="24">
        <v>9699193686</v>
      </c>
      <c r="G918" s="24" t="s">
        <v>1262</v>
      </c>
    </row>
    <row r="919" spans="1:26" ht="15.75" hidden="1" customHeight="1" x14ac:dyDescent="0.25">
      <c r="A919" s="24" t="s">
        <v>1245</v>
      </c>
      <c r="B919" s="24" t="s">
        <v>946</v>
      </c>
      <c r="C919" s="24" t="s">
        <v>453</v>
      </c>
      <c r="D919" s="24">
        <v>512916</v>
      </c>
      <c r="E919" s="24" t="s">
        <v>373</v>
      </c>
      <c r="F919" s="24">
        <v>9699193686</v>
      </c>
      <c r="G919" s="24" t="s">
        <v>1263</v>
      </c>
    </row>
    <row r="920" spans="1:26" ht="15.75" hidden="1" customHeight="1" x14ac:dyDescent="0.25">
      <c r="A920" s="24" t="s">
        <v>1245</v>
      </c>
      <c r="B920" s="24" t="s">
        <v>822</v>
      </c>
      <c r="C920" s="24" t="s">
        <v>823</v>
      </c>
      <c r="D920" s="24">
        <v>612105</v>
      </c>
      <c r="E920" s="24" t="s">
        <v>373</v>
      </c>
      <c r="F920" s="24">
        <v>9699193686</v>
      </c>
      <c r="G920" s="24" t="s">
        <v>1264</v>
      </c>
    </row>
    <row r="921" spans="1:26" ht="15.75" hidden="1" customHeight="1" x14ac:dyDescent="0.25">
      <c r="A921" s="24" t="s">
        <v>1245</v>
      </c>
      <c r="B921" s="24" t="s">
        <v>949</v>
      </c>
      <c r="C921" s="24" t="s">
        <v>823</v>
      </c>
      <c r="D921" s="24">
        <v>612105</v>
      </c>
      <c r="E921" s="24" t="s">
        <v>373</v>
      </c>
      <c r="F921" s="24">
        <v>9699193686</v>
      </c>
      <c r="G921" s="24" t="s">
        <v>1264</v>
      </c>
    </row>
    <row r="922" spans="1:26" ht="15.75" hidden="1" customHeight="1" x14ac:dyDescent="0.25">
      <c r="A922" s="24" t="s">
        <v>1245</v>
      </c>
      <c r="B922" s="24" t="s">
        <v>1153</v>
      </c>
      <c r="C922" s="24" t="s">
        <v>852</v>
      </c>
      <c r="D922" s="24">
        <v>612105</v>
      </c>
      <c r="E922" s="24" t="s">
        <v>373</v>
      </c>
      <c r="F922" s="24">
        <v>9699193686</v>
      </c>
      <c r="G922" s="24" t="s">
        <v>1261</v>
      </c>
    </row>
    <row r="923" spans="1:26" ht="15.75" hidden="1" customHeight="1" x14ac:dyDescent="0.25">
      <c r="A923" s="24" t="s">
        <v>1265</v>
      </c>
      <c r="B923" s="24" t="s">
        <v>1266</v>
      </c>
      <c r="C923" s="24" t="s">
        <v>1267</v>
      </c>
      <c r="D923" s="24">
        <v>512901</v>
      </c>
      <c r="E923" s="24" t="s">
        <v>491</v>
      </c>
      <c r="F923" s="24">
        <v>9699197048</v>
      </c>
      <c r="G923" s="24" t="s">
        <v>1155</v>
      </c>
      <c r="H923" s="4"/>
      <c r="I923" s="4"/>
      <c r="J923" s="4"/>
      <c r="K923" s="4"/>
      <c r="L923" s="4"/>
      <c r="M923" s="4"/>
      <c r="N923" s="4"/>
      <c r="O923" s="4"/>
      <c r="P923" s="4"/>
      <c r="Q923" s="4"/>
      <c r="R923" s="4"/>
      <c r="S923" s="4"/>
      <c r="T923" s="4"/>
      <c r="U923" s="4"/>
      <c r="V923" s="4"/>
      <c r="W923" s="4"/>
      <c r="X923" s="4"/>
      <c r="Y923" s="4"/>
      <c r="Z923" s="4"/>
    </row>
    <row r="924" spans="1:26" ht="15.75" hidden="1" customHeight="1" x14ac:dyDescent="0.25">
      <c r="A924" s="24" t="s">
        <v>1268</v>
      </c>
      <c r="B924" s="24" t="s">
        <v>1266</v>
      </c>
      <c r="C924" s="24" t="s">
        <v>1267</v>
      </c>
      <c r="D924" s="24">
        <v>512901</v>
      </c>
      <c r="E924" s="24" t="s">
        <v>491</v>
      </c>
      <c r="F924" s="24">
        <v>9699197048</v>
      </c>
      <c r="G924" s="24" t="s">
        <v>1155</v>
      </c>
      <c r="H924" s="4"/>
      <c r="I924" s="4"/>
      <c r="J924" s="4"/>
      <c r="K924" s="4"/>
      <c r="L924" s="4"/>
      <c r="M924" s="4"/>
      <c r="N924" s="4"/>
      <c r="O924" s="4"/>
      <c r="P924" s="4"/>
      <c r="Q924" s="4"/>
      <c r="R924" s="4"/>
      <c r="S924" s="4"/>
      <c r="T924" s="4"/>
      <c r="U924" s="4"/>
      <c r="V924" s="4"/>
      <c r="W924" s="4"/>
      <c r="X924" s="4"/>
      <c r="Y924" s="4"/>
      <c r="Z924" s="4"/>
    </row>
    <row r="925" spans="1:26" ht="15.75" hidden="1" customHeight="1" x14ac:dyDescent="0.25">
      <c r="A925" s="24" t="s">
        <v>1269</v>
      </c>
      <c r="B925" s="24" t="s">
        <v>1087</v>
      </c>
      <c r="C925" s="24" t="s">
        <v>1088</v>
      </c>
      <c r="D925" s="24">
        <v>612105</v>
      </c>
      <c r="E925" s="24" t="s">
        <v>617</v>
      </c>
      <c r="F925" s="24">
        <v>9600018403</v>
      </c>
      <c r="G925" s="24" t="s">
        <v>1089</v>
      </c>
    </row>
    <row r="926" spans="1:26" ht="15.75" hidden="1" customHeight="1" x14ac:dyDescent="0.25">
      <c r="A926" s="24" t="s">
        <v>1269</v>
      </c>
      <c r="B926" s="24" t="s">
        <v>1090</v>
      </c>
      <c r="C926" s="24" t="s">
        <v>1091</v>
      </c>
      <c r="D926" s="24">
        <v>512901</v>
      </c>
      <c r="E926" s="24" t="s">
        <v>617</v>
      </c>
      <c r="F926" s="24">
        <v>9600018403</v>
      </c>
      <c r="G926" s="24" t="s">
        <v>1089</v>
      </c>
    </row>
    <row r="927" spans="1:26" ht="15.75" hidden="1" customHeight="1" x14ac:dyDescent="0.25">
      <c r="A927" s="24" t="s">
        <v>1269</v>
      </c>
      <c r="B927" s="24" t="s">
        <v>1092</v>
      </c>
      <c r="C927" s="24" t="s">
        <v>629</v>
      </c>
      <c r="D927" s="24">
        <v>512908</v>
      </c>
      <c r="E927" s="24" t="s">
        <v>617</v>
      </c>
      <c r="F927" s="24">
        <v>9600018403</v>
      </c>
      <c r="G927" s="24" t="s">
        <v>1089</v>
      </c>
    </row>
    <row r="928" spans="1:26" ht="15.75" hidden="1" customHeight="1" x14ac:dyDescent="0.25">
      <c r="A928" s="24" t="s">
        <v>1269</v>
      </c>
      <c r="B928" s="24" t="s">
        <v>1093</v>
      </c>
      <c r="C928" s="24" t="s">
        <v>632</v>
      </c>
      <c r="D928" s="24">
        <v>512909</v>
      </c>
      <c r="E928" s="24" t="s">
        <v>617</v>
      </c>
      <c r="F928" s="24">
        <v>9600018403</v>
      </c>
      <c r="G928" s="24" t="s">
        <v>1089</v>
      </c>
    </row>
    <row r="929" spans="1:7" ht="15.75" hidden="1" customHeight="1" x14ac:dyDescent="0.25">
      <c r="A929" s="24" t="s">
        <v>1269</v>
      </c>
      <c r="B929" s="24" t="s">
        <v>1094</v>
      </c>
      <c r="C929" s="24" t="s">
        <v>669</v>
      </c>
      <c r="D929" s="24">
        <v>512904</v>
      </c>
      <c r="E929" s="24" t="s">
        <v>617</v>
      </c>
      <c r="F929" s="24">
        <v>9600018403</v>
      </c>
      <c r="G929" s="24" t="s">
        <v>1095</v>
      </c>
    </row>
    <row r="930" spans="1:7" ht="15.75" hidden="1" customHeight="1" x14ac:dyDescent="0.25">
      <c r="A930" s="24" t="s">
        <v>1269</v>
      </c>
      <c r="B930" s="24" t="s">
        <v>1096</v>
      </c>
      <c r="C930" s="24" t="s">
        <v>1097</v>
      </c>
      <c r="D930" s="24">
        <v>512985</v>
      </c>
      <c r="E930" s="24" t="s">
        <v>617</v>
      </c>
      <c r="F930" s="24">
        <v>9600018403</v>
      </c>
      <c r="G930" s="24" t="s">
        <v>1098</v>
      </c>
    </row>
    <row r="931" spans="1:7" ht="15.75" hidden="1" customHeight="1" x14ac:dyDescent="0.25">
      <c r="A931" s="24" t="s">
        <v>1269</v>
      </c>
      <c r="B931" s="24" t="s">
        <v>1099</v>
      </c>
      <c r="C931" s="24" t="s">
        <v>463</v>
      </c>
      <c r="D931" s="24">
        <v>512883</v>
      </c>
      <c r="E931" s="24" t="s">
        <v>617</v>
      </c>
      <c r="F931" s="24">
        <v>9600018403</v>
      </c>
      <c r="G931" s="24" t="s">
        <v>1100</v>
      </c>
    </row>
    <row r="932" spans="1:7" ht="15.75" hidden="1" customHeight="1" x14ac:dyDescent="0.25">
      <c r="A932" s="24" t="s">
        <v>1269</v>
      </c>
      <c r="B932" s="24" t="s">
        <v>1101</v>
      </c>
      <c r="C932" s="24" t="s">
        <v>353</v>
      </c>
      <c r="D932" s="24">
        <v>512885</v>
      </c>
      <c r="E932" s="24" t="s">
        <v>617</v>
      </c>
      <c r="F932" s="24">
        <v>9600018403</v>
      </c>
      <c r="G932" s="24" t="s">
        <v>1102</v>
      </c>
    </row>
    <row r="933" spans="1:7" ht="15.75" hidden="1" customHeight="1" x14ac:dyDescent="0.25">
      <c r="A933" s="24" t="s">
        <v>1269</v>
      </c>
      <c r="B933" s="24" t="s">
        <v>1103</v>
      </c>
      <c r="C933" s="24" t="s">
        <v>1104</v>
      </c>
      <c r="D933" s="24">
        <v>512901</v>
      </c>
      <c r="E933" s="24" t="s">
        <v>617</v>
      </c>
      <c r="F933" s="24">
        <v>9600018403</v>
      </c>
      <c r="G933" s="24" t="s">
        <v>1105</v>
      </c>
    </row>
    <row r="934" spans="1:7" ht="15.75" hidden="1" customHeight="1" x14ac:dyDescent="0.25">
      <c r="A934" s="24" t="s">
        <v>1270</v>
      </c>
      <c r="B934" s="24" t="s">
        <v>1087</v>
      </c>
      <c r="C934" s="24" t="s">
        <v>1088</v>
      </c>
      <c r="D934" s="24">
        <v>612105</v>
      </c>
      <c r="E934" s="24" t="s">
        <v>617</v>
      </c>
      <c r="F934" s="24">
        <v>9600018403</v>
      </c>
      <c r="G934" s="24" t="s">
        <v>1089</v>
      </c>
    </row>
    <row r="935" spans="1:7" ht="15.75" hidden="1" customHeight="1" x14ac:dyDescent="0.25">
      <c r="A935" s="24" t="s">
        <v>1270</v>
      </c>
      <c r="B935" s="24" t="s">
        <v>1090</v>
      </c>
      <c r="C935" s="24" t="s">
        <v>1091</v>
      </c>
      <c r="D935" s="24">
        <v>512901</v>
      </c>
      <c r="E935" s="24" t="s">
        <v>617</v>
      </c>
      <c r="F935" s="24">
        <v>9600018403</v>
      </c>
      <c r="G935" s="24" t="s">
        <v>1089</v>
      </c>
    </row>
    <row r="936" spans="1:7" ht="15.75" hidden="1" customHeight="1" x14ac:dyDescent="0.25">
      <c r="A936" s="24" t="s">
        <v>1270</v>
      </c>
      <c r="B936" s="24" t="s">
        <v>1092</v>
      </c>
      <c r="C936" s="24" t="s">
        <v>629</v>
      </c>
      <c r="D936" s="24">
        <v>512908</v>
      </c>
      <c r="E936" s="24" t="s">
        <v>617</v>
      </c>
      <c r="F936" s="24">
        <v>9600018403</v>
      </c>
      <c r="G936" s="24" t="s">
        <v>1089</v>
      </c>
    </row>
    <row r="937" spans="1:7" ht="15.75" hidden="1" customHeight="1" x14ac:dyDescent="0.25">
      <c r="A937" s="24" t="s">
        <v>1270</v>
      </c>
      <c r="B937" s="24" t="s">
        <v>1093</v>
      </c>
      <c r="C937" s="24" t="s">
        <v>632</v>
      </c>
      <c r="D937" s="24">
        <v>512909</v>
      </c>
      <c r="E937" s="24" t="s">
        <v>617</v>
      </c>
      <c r="F937" s="24">
        <v>9600018403</v>
      </c>
      <c r="G937" s="24" t="s">
        <v>1089</v>
      </c>
    </row>
    <row r="938" spans="1:7" ht="15.75" hidden="1" customHeight="1" x14ac:dyDescent="0.25">
      <c r="A938" s="24" t="s">
        <v>1270</v>
      </c>
      <c r="B938" s="24" t="s">
        <v>1094</v>
      </c>
      <c r="C938" s="24" t="s">
        <v>669</v>
      </c>
      <c r="D938" s="24">
        <v>512904</v>
      </c>
      <c r="E938" s="24" t="s">
        <v>617</v>
      </c>
      <c r="F938" s="24">
        <v>9600018403</v>
      </c>
      <c r="G938" s="24" t="s">
        <v>1095</v>
      </c>
    </row>
    <row r="939" spans="1:7" ht="15.75" hidden="1" customHeight="1" x14ac:dyDescent="0.25">
      <c r="A939" s="24" t="s">
        <v>1270</v>
      </c>
      <c r="B939" s="24" t="s">
        <v>1096</v>
      </c>
      <c r="C939" s="24" t="s">
        <v>1097</v>
      </c>
      <c r="D939" s="24">
        <v>512985</v>
      </c>
      <c r="E939" s="24" t="s">
        <v>617</v>
      </c>
      <c r="F939" s="24">
        <v>9600018403</v>
      </c>
      <c r="G939" s="24" t="s">
        <v>1098</v>
      </c>
    </row>
    <row r="940" spans="1:7" ht="15.75" hidden="1" customHeight="1" x14ac:dyDescent="0.25">
      <c r="A940" s="24" t="s">
        <v>1270</v>
      </c>
      <c r="B940" s="24" t="s">
        <v>1099</v>
      </c>
      <c r="C940" s="24" t="s">
        <v>463</v>
      </c>
      <c r="D940" s="24">
        <v>512883</v>
      </c>
      <c r="E940" s="24" t="s">
        <v>617</v>
      </c>
      <c r="F940" s="24">
        <v>9600018403</v>
      </c>
      <c r="G940" s="24" t="s">
        <v>1100</v>
      </c>
    </row>
    <row r="941" spans="1:7" ht="15.75" hidden="1" customHeight="1" x14ac:dyDescent="0.25">
      <c r="A941" s="24" t="s">
        <v>1270</v>
      </c>
      <c r="B941" s="24" t="s">
        <v>1101</v>
      </c>
      <c r="C941" s="24" t="s">
        <v>353</v>
      </c>
      <c r="D941" s="24">
        <v>512885</v>
      </c>
      <c r="E941" s="24" t="s">
        <v>617</v>
      </c>
      <c r="F941" s="24">
        <v>9600018403</v>
      </c>
      <c r="G941" s="24" t="s">
        <v>1102</v>
      </c>
    </row>
    <row r="942" spans="1:7" ht="15.75" hidden="1" customHeight="1" x14ac:dyDescent="0.25">
      <c r="A942" s="24" t="s">
        <v>1270</v>
      </c>
      <c r="B942" s="24" t="s">
        <v>1103</v>
      </c>
      <c r="C942" s="24" t="s">
        <v>1104</v>
      </c>
      <c r="D942" s="24">
        <v>512901</v>
      </c>
      <c r="E942" s="24" t="s">
        <v>617</v>
      </c>
      <c r="F942" s="24">
        <v>9600018403</v>
      </c>
      <c r="G942" s="24" t="s">
        <v>1105</v>
      </c>
    </row>
    <row r="943" spans="1:7" ht="15.75" hidden="1" customHeight="1" x14ac:dyDescent="0.25">
      <c r="A943" s="24" t="s">
        <v>1271</v>
      </c>
      <c r="B943" s="24" t="s">
        <v>313</v>
      </c>
      <c r="C943" s="24" t="s">
        <v>314</v>
      </c>
      <c r="D943" s="24">
        <v>612105</v>
      </c>
      <c r="E943" s="24" t="s">
        <v>356</v>
      </c>
      <c r="F943" s="24">
        <v>9699193686</v>
      </c>
      <c r="G943" s="24" t="s">
        <v>1272</v>
      </c>
    </row>
    <row r="944" spans="1:7" ht="15.75" hidden="1" customHeight="1" x14ac:dyDescent="0.25">
      <c r="A944" s="24" t="s">
        <v>1271</v>
      </c>
      <c r="B944" s="24" t="s">
        <v>317</v>
      </c>
      <c r="C944" s="24" t="s">
        <v>318</v>
      </c>
      <c r="D944" s="24">
        <v>612105</v>
      </c>
      <c r="E944" s="24" t="s">
        <v>356</v>
      </c>
      <c r="F944" s="24">
        <v>9699193686</v>
      </c>
      <c r="G944" s="24" t="s">
        <v>1273</v>
      </c>
    </row>
    <row r="945" spans="1:7" ht="15.75" hidden="1" customHeight="1" x14ac:dyDescent="0.25">
      <c r="A945" s="24" t="s">
        <v>1271</v>
      </c>
      <c r="B945" s="24" t="s">
        <v>320</v>
      </c>
      <c r="C945" s="24" t="s">
        <v>320</v>
      </c>
      <c r="D945" s="24">
        <v>611128</v>
      </c>
      <c r="E945" s="24" t="s">
        <v>356</v>
      </c>
      <c r="F945" s="24">
        <v>9699193686</v>
      </c>
      <c r="G945" s="24" t="s">
        <v>1274</v>
      </c>
    </row>
    <row r="946" spans="1:7" ht="15.75" hidden="1" customHeight="1" x14ac:dyDescent="0.25">
      <c r="A946" s="24" t="s">
        <v>1271</v>
      </c>
      <c r="B946" s="24" t="s">
        <v>322</v>
      </c>
      <c r="C946" s="24" t="s">
        <v>322</v>
      </c>
      <c r="D946" s="24">
        <v>611129</v>
      </c>
      <c r="E946" s="24" t="s">
        <v>356</v>
      </c>
      <c r="F946" s="24">
        <v>9699193686</v>
      </c>
      <c r="G946" s="24" t="s">
        <v>1275</v>
      </c>
    </row>
    <row r="947" spans="1:7" ht="15.75" hidden="1" customHeight="1" x14ac:dyDescent="0.25">
      <c r="A947" s="24" t="s">
        <v>1271</v>
      </c>
      <c r="B947" s="24" t="s">
        <v>324</v>
      </c>
      <c r="C947" s="24" t="s">
        <v>324</v>
      </c>
      <c r="D947" s="24">
        <v>512904</v>
      </c>
      <c r="E947" s="24" t="s">
        <v>356</v>
      </c>
      <c r="F947" s="24">
        <v>9699193686</v>
      </c>
      <c r="G947" s="24" t="s">
        <v>1276</v>
      </c>
    </row>
    <row r="948" spans="1:7" ht="15.75" hidden="1" customHeight="1" x14ac:dyDescent="0.25">
      <c r="A948" s="24" t="s">
        <v>1271</v>
      </c>
      <c r="B948" s="24" t="s">
        <v>332</v>
      </c>
      <c r="C948" s="24" t="s">
        <v>330</v>
      </c>
      <c r="D948" s="24">
        <v>611129</v>
      </c>
      <c r="E948" s="24" t="s">
        <v>356</v>
      </c>
      <c r="F948" s="24">
        <v>9699193686</v>
      </c>
      <c r="G948" s="24" t="s">
        <v>1277</v>
      </c>
    </row>
    <row r="949" spans="1:7" ht="15.75" hidden="1" customHeight="1" x14ac:dyDescent="0.25">
      <c r="A949" s="24" t="s">
        <v>1271</v>
      </c>
      <c r="B949" s="24" t="s">
        <v>333</v>
      </c>
      <c r="C949" s="24" t="s">
        <v>334</v>
      </c>
      <c r="D949" s="24">
        <v>612106</v>
      </c>
      <c r="E949" s="24" t="s">
        <v>356</v>
      </c>
      <c r="F949" s="24">
        <v>9699193686</v>
      </c>
      <c r="G949" s="24" t="s">
        <v>1278</v>
      </c>
    </row>
    <row r="950" spans="1:7" ht="15.75" hidden="1" customHeight="1" x14ac:dyDescent="0.25">
      <c r="A950" s="24" t="s">
        <v>1271</v>
      </c>
      <c r="B950" s="24" t="s">
        <v>336</v>
      </c>
      <c r="C950" s="24" t="s">
        <v>336</v>
      </c>
      <c r="D950" s="24">
        <v>512883</v>
      </c>
      <c r="E950" s="24" t="s">
        <v>356</v>
      </c>
      <c r="F950" s="24">
        <v>9699193686</v>
      </c>
      <c r="G950" s="24" t="s">
        <v>1279</v>
      </c>
    </row>
    <row r="951" spans="1:7" ht="15.75" hidden="1" customHeight="1" x14ac:dyDescent="0.25">
      <c r="A951" s="24" t="s">
        <v>1271</v>
      </c>
      <c r="B951" s="24" t="s">
        <v>338</v>
      </c>
      <c r="C951" s="24" t="s">
        <v>338</v>
      </c>
      <c r="D951" s="24">
        <v>512908</v>
      </c>
      <c r="E951" s="24" t="s">
        <v>356</v>
      </c>
      <c r="F951" s="24">
        <v>9699193686</v>
      </c>
      <c r="G951" s="24" t="s">
        <v>1280</v>
      </c>
    </row>
    <row r="952" spans="1:7" ht="15.75" hidden="1" customHeight="1" x14ac:dyDescent="0.25">
      <c r="A952" s="24" t="s">
        <v>1271</v>
      </c>
      <c r="B952" s="24" t="s">
        <v>340</v>
      </c>
      <c r="C952" s="24" t="s">
        <v>340</v>
      </c>
      <c r="D952" s="24">
        <v>512903</v>
      </c>
      <c r="E952" s="24" t="s">
        <v>356</v>
      </c>
      <c r="F952" s="24">
        <v>9699193686</v>
      </c>
      <c r="G952" s="24" t="s">
        <v>1281</v>
      </c>
    </row>
    <row r="953" spans="1:7" ht="15.75" hidden="1" customHeight="1" x14ac:dyDescent="0.25">
      <c r="A953" s="24" t="s">
        <v>1271</v>
      </c>
      <c r="B953" s="24" t="s">
        <v>342</v>
      </c>
      <c r="C953" s="24" t="s">
        <v>342</v>
      </c>
      <c r="D953" s="24">
        <v>512903</v>
      </c>
      <c r="E953" s="24" t="s">
        <v>356</v>
      </c>
      <c r="F953" s="24">
        <v>9699193686</v>
      </c>
      <c r="G953" s="24" t="s">
        <v>1282</v>
      </c>
    </row>
    <row r="954" spans="1:7" ht="15.75" hidden="1" customHeight="1" x14ac:dyDescent="0.25">
      <c r="A954" s="24" t="s">
        <v>1271</v>
      </c>
      <c r="B954" s="24" t="s">
        <v>344</v>
      </c>
      <c r="C954" s="24" t="s">
        <v>345</v>
      </c>
      <c r="D954" s="24">
        <v>512985</v>
      </c>
      <c r="E954" s="24" t="s">
        <v>356</v>
      </c>
      <c r="F954" s="24">
        <v>9699193686</v>
      </c>
      <c r="G954" s="24" t="s">
        <v>1283</v>
      </c>
    </row>
    <row r="955" spans="1:7" ht="15.75" hidden="1" customHeight="1" x14ac:dyDescent="0.25">
      <c r="A955" s="24" t="s">
        <v>1271</v>
      </c>
      <c r="B955" s="24" t="s">
        <v>347</v>
      </c>
      <c r="C955" s="24" t="s">
        <v>348</v>
      </c>
      <c r="D955" s="24">
        <v>512884</v>
      </c>
      <c r="E955" s="24" t="s">
        <v>356</v>
      </c>
      <c r="F955" s="24">
        <v>9699193686</v>
      </c>
      <c r="G955" s="24" t="s">
        <v>1284</v>
      </c>
    </row>
    <row r="956" spans="1:7" ht="15.75" hidden="1" customHeight="1" x14ac:dyDescent="0.25">
      <c r="A956" s="24" t="s">
        <v>1271</v>
      </c>
      <c r="B956" s="24" t="s">
        <v>350</v>
      </c>
      <c r="C956" s="24" t="s">
        <v>351</v>
      </c>
      <c r="D956" s="24">
        <v>512902</v>
      </c>
      <c r="E956" s="24" t="s">
        <v>356</v>
      </c>
      <c r="F956" s="24">
        <v>9699193686</v>
      </c>
      <c r="G956" s="24" t="s">
        <v>1285</v>
      </c>
    </row>
    <row r="957" spans="1:7" ht="15.75" hidden="1" customHeight="1" x14ac:dyDescent="0.25">
      <c r="A957" s="24" t="s">
        <v>1271</v>
      </c>
      <c r="B957" s="24" t="s">
        <v>353</v>
      </c>
      <c r="C957" s="24" t="s">
        <v>353</v>
      </c>
      <c r="D957" s="24">
        <v>512885</v>
      </c>
      <c r="E957" s="24" t="s">
        <v>356</v>
      </c>
      <c r="F957" s="24">
        <v>9699193686</v>
      </c>
      <c r="G957" s="24" t="s">
        <v>1286</v>
      </c>
    </row>
    <row r="958" spans="1:7" ht="15.75" hidden="1" customHeight="1" x14ac:dyDescent="0.25">
      <c r="A958" s="24" t="s">
        <v>1271</v>
      </c>
      <c r="B958" s="24" t="s">
        <v>851</v>
      </c>
      <c r="C958" s="24" t="s">
        <v>852</v>
      </c>
      <c r="D958" s="24">
        <v>612105</v>
      </c>
      <c r="E958" s="24" t="s">
        <v>356</v>
      </c>
      <c r="F958" s="24">
        <v>9699193686</v>
      </c>
      <c r="G958" s="24" t="s">
        <v>1287</v>
      </c>
    </row>
    <row r="959" spans="1:7" ht="15.75" hidden="1" customHeight="1" x14ac:dyDescent="0.25">
      <c r="A959" s="24" t="s">
        <v>1271</v>
      </c>
      <c r="B959" s="24" t="s">
        <v>862</v>
      </c>
      <c r="C959" s="24" t="s">
        <v>863</v>
      </c>
      <c r="D959" s="24">
        <v>612105</v>
      </c>
      <c r="E959" s="24" t="s">
        <v>356</v>
      </c>
      <c r="F959" s="24">
        <v>9699193686</v>
      </c>
      <c r="G959" s="24" t="s">
        <v>1288</v>
      </c>
    </row>
    <row r="960" spans="1:7" ht="15.75" hidden="1" customHeight="1" x14ac:dyDescent="0.25">
      <c r="A960" s="24" t="s">
        <v>1271</v>
      </c>
      <c r="B960" s="24" t="s">
        <v>452</v>
      </c>
      <c r="C960" s="24" t="s">
        <v>453</v>
      </c>
      <c r="D960" s="24">
        <v>512916</v>
      </c>
      <c r="E960" s="24" t="s">
        <v>356</v>
      </c>
      <c r="F960" s="24">
        <v>9699193686</v>
      </c>
      <c r="G960" s="24" t="s">
        <v>1289</v>
      </c>
    </row>
    <row r="961" spans="1:7" ht="15.75" hidden="1" customHeight="1" x14ac:dyDescent="0.25">
      <c r="A961" s="24" t="s">
        <v>1271</v>
      </c>
      <c r="B961" s="24" t="s">
        <v>822</v>
      </c>
      <c r="C961" s="24" t="s">
        <v>823</v>
      </c>
      <c r="D961" s="24">
        <v>612105</v>
      </c>
      <c r="E961" s="24" t="s">
        <v>356</v>
      </c>
      <c r="F961" s="24">
        <v>9699193686</v>
      </c>
      <c r="G961" s="24" t="s">
        <v>1288</v>
      </c>
    </row>
    <row r="962" spans="1:7" ht="15.75" hidden="1" customHeight="1" x14ac:dyDescent="0.25">
      <c r="A962" s="24" t="s">
        <v>1271</v>
      </c>
      <c r="B962" s="24" t="s">
        <v>1066</v>
      </c>
      <c r="C962" s="24" t="s">
        <v>823</v>
      </c>
      <c r="D962" s="24">
        <v>612105</v>
      </c>
      <c r="E962" s="24" t="s">
        <v>356</v>
      </c>
      <c r="F962" s="24">
        <v>9699193686</v>
      </c>
      <c r="G962" s="24" t="s">
        <v>1288</v>
      </c>
    </row>
    <row r="963" spans="1:7" ht="15.75" hidden="1" customHeight="1" x14ac:dyDescent="0.25">
      <c r="A963" s="24" t="s">
        <v>1290</v>
      </c>
      <c r="B963" s="24" t="s">
        <v>313</v>
      </c>
      <c r="C963" s="24" t="s">
        <v>314</v>
      </c>
      <c r="D963" s="24">
        <v>612105</v>
      </c>
      <c r="E963" s="24" t="s">
        <v>356</v>
      </c>
      <c r="F963" s="24">
        <v>9699193686</v>
      </c>
      <c r="G963" s="24" t="s">
        <v>1291</v>
      </c>
    </row>
    <row r="964" spans="1:7" ht="15.75" hidden="1" customHeight="1" x14ac:dyDescent="0.25">
      <c r="A964" s="24" t="s">
        <v>1290</v>
      </c>
      <c r="B964" s="24" t="s">
        <v>317</v>
      </c>
      <c r="C964" s="24" t="s">
        <v>318</v>
      </c>
      <c r="D964" s="24">
        <v>612105</v>
      </c>
      <c r="E964" s="24" t="s">
        <v>356</v>
      </c>
      <c r="F964" s="24">
        <v>9699193686</v>
      </c>
      <c r="G964" s="24" t="s">
        <v>1292</v>
      </c>
    </row>
    <row r="965" spans="1:7" ht="15.75" hidden="1" customHeight="1" x14ac:dyDescent="0.25">
      <c r="A965" s="24" t="s">
        <v>1290</v>
      </c>
      <c r="B965" s="24" t="s">
        <v>320</v>
      </c>
      <c r="C965" s="24" t="s">
        <v>320</v>
      </c>
      <c r="D965" s="24">
        <v>611128</v>
      </c>
      <c r="E965" s="24" t="s">
        <v>356</v>
      </c>
      <c r="F965" s="24">
        <v>9699193686</v>
      </c>
      <c r="G965" s="24" t="s">
        <v>1293</v>
      </c>
    </row>
    <row r="966" spans="1:7" ht="15.75" hidden="1" customHeight="1" x14ac:dyDescent="0.25">
      <c r="A966" s="24" t="s">
        <v>1290</v>
      </c>
      <c r="B966" s="24" t="s">
        <v>322</v>
      </c>
      <c r="C966" s="24" t="s">
        <v>322</v>
      </c>
      <c r="D966" s="24">
        <v>611129</v>
      </c>
      <c r="E966" s="24" t="s">
        <v>356</v>
      </c>
      <c r="F966" s="24">
        <v>9699193686</v>
      </c>
      <c r="G966" s="24" t="s">
        <v>1294</v>
      </c>
    </row>
    <row r="967" spans="1:7" ht="15.75" hidden="1" customHeight="1" x14ac:dyDescent="0.25">
      <c r="A967" s="24" t="s">
        <v>1290</v>
      </c>
      <c r="B967" s="24" t="s">
        <v>324</v>
      </c>
      <c r="C967" s="24" t="s">
        <v>324</v>
      </c>
      <c r="D967" s="24">
        <v>512904</v>
      </c>
      <c r="E967" s="24" t="s">
        <v>356</v>
      </c>
      <c r="F967" s="24">
        <v>9699193686</v>
      </c>
      <c r="G967" s="24" t="s">
        <v>1295</v>
      </c>
    </row>
    <row r="968" spans="1:7" ht="15.75" hidden="1" customHeight="1" x14ac:dyDescent="0.25">
      <c r="A968" s="24" t="s">
        <v>1290</v>
      </c>
      <c r="B968" s="24" t="s">
        <v>332</v>
      </c>
      <c r="C968" s="24" t="s">
        <v>330</v>
      </c>
      <c r="D968" s="24">
        <v>611129</v>
      </c>
      <c r="E968" s="24" t="s">
        <v>356</v>
      </c>
      <c r="F968" s="24">
        <v>9699193686</v>
      </c>
      <c r="G968" s="24" t="s">
        <v>1296</v>
      </c>
    </row>
    <row r="969" spans="1:7" ht="15.75" hidden="1" customHeight="1" x14ac:dyDescent="0.25">
      <c r="A969" s="24" t="s">
        <v>1290</v>
      </c>
      <c r="B969" s="24" t="s">
        <v>333</v>
      </c>
      <c r="C969" s="24" t="s">
        <v>334</v>
      </c>
      <c r="D969" s="24">
        <v>612106</v>
      </c>
      <c r="E969" s="24" t="s">
        <v>356</v>
      </c>
      <c r="F969" s="24">
        <v>9699193686</v>
      </c>
      <c r="G969" s="24" t="s">
        <v>1297</v>
      </c>
    </row>
    <row r="970" spans="1:7" ht="15.75" hidden="1" customHeight="1" x14ac:dyDescent="0.25">
      <c r="A970" s="24" t="s">
        <v>1290</v>
      </c>
      <c r="B970" s="24" t="s">
        <v>336</v>
      </c>
      <c r="C970" s="24" t="s">
        <v>336</v>
      </c>
      <c r="D970" s="24">
        <v>512883</v>
      </c>
      <c r="E970" s="24" t="s">
        <v>356</v>
      </c>
      <c r="F970" s="24">
        <v>9699193686</v>
      </c>
      <c r="G970" s="24" t="s">
        <v>1298</v>
      </c>
    </row>
    <row r="971" spans="1:7" ht="15.75" hidden="1" customHeight="1" x14ac:dyDescent="0.25">
      <c r="A971" s="24" t="s">
        <v>1290</v>
      </c>
      <c r="B971" s="24" t="s">
        <v>338</v>
      </c>
      <c r="C971" s="24" t="s">
        <v>338</v>
      </c>
      <c r="D971" s="24">
        <v>512908</v>
      </c>
      <c r="E971" s="24" t="s">
        <v>356</v>
      </c>
      <c r="F971" s="24">
        <v>9699193686</v>
      </c>
      <c r="G971" s="24" t="s">
        <v>1299</v>
      </c>
    </row>
    <row r="972" spans="1:7" ht="15.75" hidden="1" customHeight="1" x14ac:dyDescent="0.25">
      <c r="A972" s="24" t="s">
        <v>1290</v>
      </c>
      <c r="B972" s="24" t="s">
        <v>340</v>
      </c>
      <c r="C972" s="24" t="s">
        <v>340</v>
      </c>
      <c r="D972" s="24">
        <v>512903</v>
      </c>
      <c r="E972" s="24" t="s">
        <v>356</v>
      </c>
      <c r="F972" s="24">
        <v>9699193686</v>
      </c>
      <c r="G972" s="24" t="s">
        <v>1300</v>
      </c>
    </row>
    <row r="973" spans="1:7" ht="15.75" hidden="1" customHeight="1" x14ac:dyDescent="0.25">
      <c r="A973" s="24" t="s">
        <v>1290</v>
      </c>
      <c r="B973" s="24" t="s">
        <v>342</v>
      </c>
      <c r="C973" s="24" t="s">
        <v>342</v>
      </c>
      <c r="D973" s="24">
        <v>512903</v>
      </c>
      <c r="E973" s="24" t="s">
        <v>356</v>
      </c>
      <c r="F973" s="24">
        <v>9699193686</v>
      </c>
      <c r="G973" s="24" t="s">
        <v>1301</v>
      </c>
    </row>
    <row r="974" spans="1:7" ht="15.75" hidden="1" customHeight="1" x14ac:dyDescent="0.25">
      <c r="A974" s="24" t="s">
        <v>1290</v>
      </c>
      <c r="B974" s="24" t="s">
        <v>344</v>
      </c>
      <c r="C974" s="24" t="s">
        <v>345</v>
      </c>
      <c r="D974" s="24">
        <v>512985</v>
      </c>
      <c r="E974" s="24" t="s">
        <v>356</v>
      </c>
      <c r="F974" s="24">
        <v>9699193686</v>
      </c>
      <c r="G974" s="24" t="s">
        <v>1302</v>
      </c>
    </row>
    <row r="975" spans="1:7" ht="15.75" hidden="1" customHeight="1" x14ac:dyDescent="0.25">
      <c r="A975" s="24" t="s">
        <v>1290</v>
      </c>
      <c r="B975" s="24" t="s">
        <v>347</v>
      </c>
      <c r="C975" s="24" t="s">
        <v>348</v>
      </c>
      <c r="D975" s="24">
        <v>512884</v>
      </c>
      <c r="E975" s="24" t="s">
        <v>356</v>
      </c>
      <c r="F975" s="24">
        <v>9699193686</v>
      </c>
      <c r="G975" s="24" t="s">
        <v>1303</v>
      </c>
    </row>
    <row r="976" spans="1:7" ht="15.75" hidden="1" customHeight="1" x14ac:dyDescent="0.25">
      <c r="A976" s="24" t="s">
        <v>1290</v>
      </c>
      <c r="B976" s="24" t="s">
        <v>350</v>
      </c>
      <c r="C976" s="24" t="s">
        <v>351</v>
      </c>
      <c r="D976" s="24">
        <v>512902</v>
      </c>
      <c r="E976" s="24" t="s">
        <v>356</v>
      </c>
      <c r="F976" s="24">
        <v>9699193686</v>
      </c>
      <c r="G976" s="24" t="s">
        <v>1304</v>
      </c>
    </row>
    <row r="977" spans="1:7" ht="15.75" hidden="1" customHeight="1" x14ac:dyDescent="0.25">
      <c r="A977" s="24" t="s">
        <v>1290</v>
      </c>
      <c r="B977" s="24" t="s">
        <v>353</v>
      </c>
      <c r="C977" s="24" t="s">
        <v>353</v>
      </c>
      <c r="D977" s="24">
        <v>512885</v>
      </c>
      <c r="E977" s="24" t="s">
        <v>356</v>
      </c>
      <c r="F977" s="24">
        <v>9699193686</v>
      </c>
      <c r="G977" s="24" t="s">
        <v>1305</v>
      </c>
    </row>
    <row r="978" spans="1:7" ht="15.75" hidden="1" customHeight="1" x14ac:dyDescent="0.25">
      <c r="A978" s="24" t="s">
        <v>1290</v>
      </c>
      <c r="B978" s="24" t="s">
        <v>851</v>
      </c>
      <c r="C978" s="24" t="s">
        <v>852</v>
      </c>
      <c r="D978" s="24">
        <v>612105</v>
      </c>
      <c r="E978" s="24" t="s">
        <v>356</v>
      </c>
      <c r="F978" s="24">
        <v>9699193686</v>
      </c>
      <c r="G978" s="24" t="s">
        <v>1306</v>
      </c>
    </row>
    <row r="979" spans="1:7" ht="15.75" hidden="1" customHeight="1" x14ac:dyDescent="0.25">
      <c r="A979" s="24" t="s">
        <v>1290</v>
      </c>
      <c r="B979" s="24" t="s">
        <v>862</v>
      </c>
      <c r="C979" s="24" t="s">
        <v>863</v>
      </c>
      <c r="D979" s="24">
        <v>612105</v>
      </c>
      <c r="E979" s="24" t="s">
        <v>356</v>
      </c>
      <c r="F979" s="24">
        <v>9699193686</v>
      </c>
      <c r="G979" s="24" t="s">
        <v>1307</v>
      </c>
    </row>
    <row r="980" spans="1:7" ht="15.75" hidden="1" customHeight="1" x14ac:dyDescent="0.25">
      <c r="A980" s="24" t="s">
        <v>1290</v>
      </c>
      <c r="B980" s="24" t="s">
        <v>452</v>
      </c>
      <c r="C980" s="24" t="s">
        <v>453</v>
      </c>
      <c r="D980" s="24">
        <v>512916</v>
      </c>
      <c r="E980" s="24" t="s">
        <v>356</v>
      </c>
      <c r="F980" s="24">
        <v>9699193686</v>
      </c>
      <c r="G980" s="24" t="s">
        <v>1308</v>
      </c>
    </row>
    <row r="981" spans="1:7" ht="15.75" hidden="1" customHeight="1" x14ac:dyDescent="0.25">
      <c r="A981" s="24" t="s">
        <v>1290</v>
      </c>
      <c r="B981" s="24" t="s">
        <v>822</v>
      </c>
      <c r="C981" s="24" t="s">
        <v>823</v>
      </c>
      <c r="D981" s="24">
        <v>612105</v>
      </c>
      <c r="E981" s="24" t="s">
        <v>356</v>
      </c>
      <c r="F981" s="24">
        <v>9699193686</v>
      </c>
      <c r="G981" s="24" t="s">
        <v>1307</v>
      </c>
    </row>
    <row r="982" spans="1:7" ht="15.75" hidden="1" customHeight="1" x14ac:dyDescent="0.25">
      <c r="A982" s="24" t="s">
        <v>1290</v>
      </c>
      <c r="B982" s="24" t="s">
        <v>1066</v>
      </c>
      <c r="C982" s="24" t="s">
        <v>823</v>
      </c>
      <c r="D982" s="24">
        <v>612105</v>
      </c>
      <c r="E982" s="24" t="s">
        <v>356</v>
      </c>
      <c r="F982" s="24">
        <v>9699193686</v>
      </c>
      <c r="G982" s="24" t="s">
        <v>1307</v>
      </c>
    </row>
    <row r="983" spans="1:7" ht="15.75" hidden="1" customHeight="1" x14ac:dyDescent="0.25">
      <c r="A983" s="24" t="s">
        <v>1309</v>
      </c>
      <c r="B983" s="24" t="s">
        <v>313</v>
      </c>
      <c r="C983" s="24" t="s">
        <v>314</v>
      </c>
      <c r="D983" s="24">
        <v>612105</v>
      </c>
      <c r="E983" s="24" t="s">
        <v>356</v>
      </c>
      <c r="F983" s="24">
        <v>9699193686</v>
      </c>
      <c r="G983" s="24" t="s">
        <v>1310</v>
      </c>
    </row>
    <row r="984" spans="1:7" ht="15.75" hidden="1" customHeight="1" x14ac:dyDescent="0.25">
      <c r="A984" s="24" t="s">
        <v>1309</v>
      </c>
      <c r="B984" s="24" t="s">
        <v>317</v>
      </c>
      <c r="C984" s="24" t="s">
        <v>318</v>
      </c>
      <c r="D984" s="24">
        <v>612105</v>
      </c>
      <c r="E984" s="24" t="s">
        <v>356</v>
      </c>
      <c r="F984" s="24">
        <v>9699193686</v>
      </c>
      <c r="G984" s="24" t="s">
        <v>1311</v>
      </c>
    </row>
    <row r="985" spans="1:7" ht="15.75" hidden="1" customHeight="1" x14ac:dyDescent="0.25">
      <c r="A985" s="24" t="s">
        <v>1309</v>
      </c>
      <c r="B985" s="24" t="s">
        <v>320</v>
      </c>
      <c r="C985" s="24" t="s">
        <v>320</v>
      </c>
      <c r="D985" s="24">
        <v>611128</v>
      </c>
      <c r="E985" s="24" t="s">
        <v>356</v>
      </c>
      <c r="F985" s="24">
        <v>9699193686</v>
      </c>
      <c r="G985" s="24" t="s">
        <v>1312</v>
      </c>
    </row>
    <row r="986" spans="1:7" ht="15.75" hidden="1" customHeight="1" x14ac:dyDescent="0.25">
      <c r="A986" s="24" t="s">
        <v>1309</v>
      </c>
      <c r="B986" s="24" t="s">
        <v>322</v>
      </c>
      <c r="C986" s="24" t="s">
        <v>322</v>
      </c>
      <c r="D986" s="24">
        <v>611129</v>
      </c>
      <c r="E986" s="24" t="s">
        <v>356</v>
      </c>
      <c r="F986" s="24">
        <v>9699193686</v>
      </c>
      <c r="G986" s="24" t="s">
        <v>1313</v>
      </c>
    </row>
    <row r="987" spans="1:7" ht="15.75" hidden="1" customHeight="1" x14ac:dyDescent="0.25">
      <c r="A987" s="24" t="s">
        <v>1309</v>
      </c>
      <c r="B987" s="24" t="s">
        <v>324</v>
      </c>
      <c r="C987" s="24" t="s">
        <v>324</v>
      </c>
      <c r="D987" s="24">
        <v>512904</v>
      </c>
      <c r="E987" s="24" t="s">
        <v>356</v>
      </c>
      <c r="F987" s="24">
        <v>9699193686</v>
      </c>
      <c r="G987" s="24" t="s">
        <v>1314</v>
      </c>
    </row>
    <row r="988" spans="1:7" ht="15.75" hidden="1" customHeight="1" x14ac:dyDescent="0.25">
      <c r="A988" s="24" t="s">
        <v>1309</v>
      </c>
      <c r="B988" s="24" t="s">
        <v>332</v>
      </c>
      <c r="C988" s="24" t="s">
        <v>330</v>
      </c>
      <c r="D988" s="24">
        <v>611129</v>
      </c>
      <c r="E988" s="24" t="s">
        <v>356</v>
      </c>
      <c r="F988" s="24">
        <v>9699193686</v>
      </c>
      <c r="G988" s="24" t="s">
        <v>1315</v>
      </c>
    </row>
    <row r="989" spans="1:7" ht="15.75" hidden="1" customHeight="1" x14ac:dyDescent="0.25">
      <c r="A989" s="24" t="s">
        <v>1309</v>
      </c>
      <c r="B989" s="24" t="s">
        <v>333</v>
      </c>
      <c r="C989" s="24" t="s">
        <v>334</v>
      </c>
      <c r="D989" s="24">
        <v>612106</v>
      </c>
      <c r="E989" s="24" t="s">
        <v>356</v>
      </c>
      <c r="F989" s="24">
        <v>9699193686</v>
      </c>
      <c r="G989" s="24" t="s">
        <v>1316</v>
      </c>
    </row>
    <row r="990" spans="1:7" ht="15.75" hidden="1" customHeight="1" x14ac:dyDescent="0.25">
      <c r="A990" s="24" t="s">
        <v>1309</v>
      </c>
      <c r="B990" s="24" t="s">
        <v>336</v>
      </c>
      <c r="C990" s="24" t="s">
        <v>336</v>
      </c>
      <c r="D990" s="24">
        <v>512883</v>
      </c>
      <c r="E990" s="24" t="s">
        <v>356</v>
      </c>
      <c r="F990" s="24">
        <v>9699193686</v>
      </c>
      <c r="G990" s="24" t="s">
        <v>1317</v>
      </c>
    </row>
    <row r="991" spans="1:7" ht="15.75" hidden="1" customHeight="1" x14ac:dyDescent="0.25">
      <c r="A991" s="24" t="s">
        <v>1309</v>
      </c>
      <c r="B991" s="24" t="s">
        <v>338</v>
      </c>
      <c r="C991" s="24" t="s">
        <v>338</v>
      </c>
      <c r="D991" s="24">
        <v>512908</v>
      </c>
      <c r="E991" s="24" t="s">
        <v>356</v>
      </c>
      <c r="F991" s="24">
        <v>9699193686</v>
      </c>
      <c r="G991" s="24" t="s">
        <v>1318</v>
      </c>
    </row>
    <row r="992" spans="1:7" ht="15.75" hidden="1" customHeight="1" x14ac:dyDescent="0.25">
      <c r="A992" s="24" t="s">
        <v>1309</v>
      </c>
      <c r="B992" s="24" t="s">
        <v>340</v>
      </c>
      <c r="C992" s="24" t="s">
        <v>340</v>
      </c>
      <c r="D992" s="24">
        <v>512903</v>
      </c>
      <c r="E992" s="24" t="s">
        <v>356</v>
      </c>
      <c r="F992" s="24">
        <v>9699193686</v>
      </c>
      <c r="G992" s="24" t="s">
        <v>1319</v>
      </c>
    </row>
    <row r="993" spans="1:7" ht="15.75" hidden="1" customHeight="1" x14ac:dyDescent="0.25">
      <c r="A993" s="24" t="s">
        <v>1309</v>
      </c>
      <c r="B993" s="24" t="s">
        <v>342</v>
      </c>
      <c r="C993" s="24" t="s">
        <v>342</v>
      </c>
      <c r="D993" s="24">
        <v>512903</v>
      </c>
      <c r="E993" s="24" t="s">
        <v>356</v>
      </c>
      <c r="F993" s="24">
        <v>9699193686</v>
      </c>
      <c r="G993" s="24" t="s">
        <v>1320</v>
      </c>
    </row>
    <row r="994" spans="1:7" ht="15.75" hidden="1" customHeight="1" x14ac:dyDescent="0.25">
      <c r="A994" s="24" t="s">
        <v>1309</v>
      </c>
      <c r="B994" s="24" t="s">
        <v>344</v>
      </c>
      <c r="C994" s="24" t="s">
        <v>345</v>
      </c>
      <c r="D994" s="24">
        <v>512985</v>
      </c>
      <c r="E994" s="24" t="s">
        <v>356</v>
      </c>
      <c r="F994" s="24">
        <v>9699193686</v>
      </c>
      <c r="G994" s="24" t="s">
        <v>1321</v>
      </c>
    </row>
    <row r="995" spans="1:7" ht="15.75" hidden="1" customHeight="1" x14ac:dyDescent="0.25">
      <c r="A995" s="24" t="s">
        <v>1309</v>
      </c>
      <c r="B995" s="24" t="s">
        <v>347</v>
      </c>
      <c r="C995" s="24" t="s">
        <v>348</v>
      </c>
      <c r="D995" s="24">
        <v>512884</v>
      </c>
      <c r="E995" s="24" t="s">
        <v>356</v>
      </c>
      <c r="F995" s="24">
        <v>9699193686</v>
      </c>
      <c r="G995" s="24" t="s">
        <v>1322</v>
      </c>
    </row>
    <row r="996" spans="1:7" ht="15.75" hidden="1" customHeight="1" x14ac:dyDescent="0.25">
      <c r="A996" s="24" t="s">
        <v>1309</v>
      </c>
      <c r="B996" s="24" t="s">
        <v>350</v>
      </c>
      <c r="C996" s="24" t="s">
        <v>351</v>
      </c>
      <c r="D996" s="24">
        <v>512902</v>
      </c>
      <c r="E996" s="24" t="s">
        <v>356</v>
      </c>
      <c r="F996" s="24">
        <v>9699193686</v>
      </c>
      <c r="G996" s="24" t="s">
        <v>1323</v>
      </c>
    </row>
    <row r="997" spans="1:7" ht="15.75" hidden="1" customHeight="1" x14ac:dyDescent="0.25">
      <c r="A997" s="24" t="s">
        <v>1309</v>
      </c>
      <c r="B997" s="24" t="s">
        <v>353</v>
      </c>
      <c r="C997" s="24" t="s">
        <v>353</v>
      </c>
      <c r="D997" s="24">
        <v>512885</v>
      </c>
      <c r="E997" s="24" t="s">
        <v>356</v>
      </c>
      <c r="F997" s="24">
        <v>9699193686</v>
      </c>
      <c r="G997" s="24" t="s">
        <v>1324</v>
      </c>
    </row>
    <row r="998" spans="1:7" ht="15.75" hidden="1" customHeight="1" x14ac:dyDescent="0.25">
      <c r="A998" s="24" t="s">
        <v>1309</v>
      </c>
      <c r="B998" s="24" t="s">
        <v>851</v>
      </c>
      <c r="C998" s="24" t="s">
        <v>852</v>
      </c>
      <c r="D998" s="24">
        <v>612105</v>
      </c>
      <c r="E998" s="24" t="s">
        <v>356</v>
      </c>
      <c r="F998" s="24">
        <v>9699193686</v>
      </c>
      <c r="G998" s="24" t="s">
        <v>1325</v>
      </c>
    </row>
    <row r="999" spans="1:7" ht="15.75" hidden="1" customHeight="1" x14ac:dyDescent="0.25">
      <c r="A999" s="24" t="s">
        <v>1309</v>
      </c>
      <c r="B999" s="24" t="s">
        <v>862</v>
      </c>
      <c r="C999" s="24" t="s">
        <v>863</v>
      </c>
      <c r="D999" s="24">
        <v>612105</v>
      </c>
      <c r="E999" s="24" t="s">
        <v>356</v>
      </c>
      <c r="F999" s="24">
        <v>9699193686</v>
      </c>
      <c r="G999" s="24" t="s">
        <v>1326</v>
      </c>
    </row>
    <row r="1000" spans="1:7" ht="15.75" hidden="1" customHeight="1" x14ac:dyDescent="0.25">
      <c r="A1000" s="24" t="s">
        <v>1309</v>
      </c>
      <c r="B1000" s="24" t="s">
        <v>452</v>
      </c>
      <c r="C1000" s="24" t="s">
        <v>453</v>
      </c>
      <c r="D1000" s="24">
        <v>512916</v>
      </c>
      <c r="E1000" s="24" t="s">
        <v>356</v>
      </c>
      <c r="F1000" s="24">
        <v>9699193686</v>
      </c>
      <c r="G1000" s="24" t="s">
        <v>1327</v>
      </c>
    </row>
    <row r="1001" spans="1:7" ht="15.75" hidden="1" customHeight="1" x14ac:dyDescent="0.25">
      <c r="A1001" s="24" t="s">
        <v>1309</v>
      </c>
      <c r="B1001" s="24" t="s">
        <v>822</v>
      </c>
      <c r="C1001" s="24" t="s">
        <v>823</v>
      </c>
      <c r="D1001" s="24">
        <v>612105</v>
      </c>
      <c r="E1001" s="24" t="s">
        <v>356</v>
      </c>
      <c r="F1001" s="24">
        <v>9699193686</v>
      </c>
      <c r="G1001" s="24" t="s">
        <v>1326</v>
      </c>
    </row>
    <row r="1002" spans="1:7" ht="15.75" hidden="1" customHeight="1" x14ac:dyDescent="0.25">
      <c r="A1002" s="24" t="s">
        <v>1309</v>
      </c>
      <c r="B1002" s="24" t="s">
        <v>1066</v>
      </c>
      <c r="C1002" s="24" t="s">
        <v>823</v>
      </c>
      <c r="D1002" s="24">
        <v>612105</v>
      </c>
      <c r="E1002" s="24" t="s">
        <v>356</v>
      </c>
      <c r="F1002" s="24">
        <v>9699193686</v>
      </c>
      <c r="G1002" s="24" t="s">
        <v>1326</v>
      </c>
    </row>
    <row r="1003" spans="1:7" ht="15.75" hidden="1" customHeight="1" x14ac:dyDescent="0.25">
      <c r="A1003" s="24" t="s">
        <v>1328</v>
      </c>
      <c r="B1003" s="24" t="s">
        <v>313</v>
      </c>
      <c r="C1003" s="24" t="s">
        <v>314</v>
      </c>
      <c r="D1003" s="24">
        <v>612105</v>
      </c>
      <c r="E1003" s="24" t="s">
        <v>356</v>
      </c>
      <c r="F1003" s="24">
        <v>9699193686</v>
      </c>
      <c r="G1003" s="24" t="s">
        <v>1329</v>
      </c>
    </row>
    <row r="1004" spans="1:7" ht="15.75" hidden="1" customHeight="1" x14ac:dyDescent="0.25">
      <c r="A1004" s="24" t="s">
        <v>1328</v>
      </c>
      <c r="B1004" s="24" t="s">
        <v>317</v>
      </c>
      <c r="C1004" s="24" t="s">
        <v>318</v>
      </c>
      <c r="D1004" s="24">
        <v>612105</v>
      </c>
      <c r="E1004" s="24" t="s">
        <v>356</v>
      </c>
      <c r="F1004" s="24">
        <v>9699193686</v>
      </c>
      <c r="G1004" s="24" t="s">
        <v>1330</v>
      </c>
    </row>
    <row r="1005" spans="1:7" ht="15.75" hidden="1" customHeight="1" x14ac:dyDescent="0.25">
      <c r="A1005" s="24" t="s">
        <v>1328</v>
      </c>
      <c r="B1005" s="24" t="s">
        <v>320</v>
      </c>
      <c r="C1005" s="24" t="s">
        <v>320</v>
      </c>
      <c r="D1005" s="24">
        <v>611128</v>
      </c>
      <c r="E1005" s="24" t="s">
        <v>356</v>
      </c>
      <c r="F1005" s="24">
        <v>9699193686</v>
      </c>
      <c r="G1005" s="24" t="s">
        <v>1331</v>
      </c>
    </row>
    <row r="1006" spans="1:7" ht="15.75" hidden="1" customHeight="1" x14ac:dyDescent="0.25">
      <c r="A1006" s="24" t="s">
        <v>1328</v>
      </c>
      <c r="B1006" s="24" t="s">
        <v>322</v>
      </c>
      <c r="C1006" s="24" t="s">
        <v>322</v>
      </c>
      <c r="D1006" s="24">
        <v>611129</v>
      </c>
      <c r="E1006" s="24" t="s">
        <v>356</v>
      </c>
      <c r="F1006" s="24">
        <v>9699193686</v>
      </c>
      <c r="G1006" s="24" t="s">
        <v>1332</v>
      </c>
    </row>
    <row r="1007" spans="1:7" ht="15.75" hidden="1" customHeight="1" x14ac:dyDescent="0.25">
      <c r="A1007" s="24" t="s">
        <v>1328</v>
      </c>
      <c r="B1007" s="24" t="s">
        <v>324</v>
      </c>
      <c r="C1007" s="24" t="s">
        <v>324</v>
      </c>
      <c r="D1007" s="24">
        <v>512904</v>
      </c>
      <c r="E1007" s="24" t="s">
        <v>356</v>
      </c>
      <c r="F1007" s="24">
        <v>9699193686</v>
      </c>
      <c r="G1007" s="24" t="s">
        <v>1333</v>
      </c>
    </row>
    <row r="1008" spans="1:7" ht="15.75" hidden="1" customHeight="1" x14ac:dyDescent="0.25">
      <c r="A1008" s="24" t="s">
        <v>1328</v>
      </c>
      <c r="B1008" s="24" t="s">
        <v>332</v>
      </c>
      <c r="C1008" s="24" t="s">
        <v>330</v>
      </c>
      <c r="D1008" s="24">
        <v>611129</v>
      </c>
      <c r="E1008" s="24" t="s">
        <v>356</v>
      </c>
      <c r="F1008" s="24">
        <v>9699193686</v>
      </c>
      <c r="G1008" s="24" t="s">
        <v>1334</v>
      </c>
    </row>
    <row r="1009" spans="1:7" ht="15.75" hidden="1" customHeight="1" x14ac:dyDescent="0.25">
      <c r="A1009" s="24" t="s">
        <v>1328</v>
      </c>
      <c r="B1009" s="24" t="s">
        <v>333</v>
      </c>
      <c r="C1009" s="24" t="s">
        <v>334</v>
      </c>
      <c r="D1009" s="24">
        <v>612106</v>
      </c>
      <c r="E1009" s="24" t="s">
        <v>356</v>
      </c>
      <c r="F1009" s="24">
        <v>9699193686</v>
      </c>
      <c r="G1009" s="24" t="s">
        <v>1335</v>
      </c>
    </row>
    <row r="1010" spans="1:7" ht="15.75" hidden="1" customHeight="1" x14ac:dyDescent="0.25">
      <c r="A1010" s="24" t="s">
        <v>1328</v>
      </c>
      <c r="B1010" s="24" t="s">
        <v>336</v>
      </c>
      <c r="C1010" s="24" t="s">
        <v>336</v>
      </c>
      <c r="D1010" s="24">
        <v>512883</v>
      </c>
      <c r="E1010" s="24" t="s">
        <v>356</v>
      </c>
      <c r="F1010" s="24">
        <v>9699193686</v>
      </c>
      <c r="G1010" s="24" t="s">
        <v>1336</v>
      </c>
    </row>
    <row r="1011" spans="1:7" ht="15.75" hidden="1" customHeight="1" x14ac:dyDescent="0.25">
      <c r="A1011" s="24" t="s">
        <v>1328</v>
      </c>
      <c r="B1011" s="24" t="s">
        <v>338</v>
      </c>
      <c r="C1011" s="24" t="s">
        <v>338</v>
      </c>
      <c r="D1011" s="24">
        <v>512908</v>
      </c>
      <c r="E1011" s="24" t="s">
        <v>356</v>
      </c>
      <c r="F1011" s="24">
        <v>9699193686</v>
      </c>
      <c r="G1011" s="24" t="s">
        <v>1337</v>
      </c>
    </row>
    <row r="1012" spans="1:7" ht="15.75" hidden="1" customHeight="1" x14ac:dyDescent="0.25">
      <c r="A1012" s="24" t="s">
        <v>1328</v>
      </c>
      <c r="B1012" s="24" t="s">
        <v>340</v>
      </c>
      <c r="C1012" s="24" t="s">
        <v>340</v>
      </c>
      <c r="D1012" s="24">
        <v>512903</v>
      </c>
      <c r="E1012" s="24" t="s">
        <v>356</v>
      </c>
      <c r="F1012" s="24">
        <v>9699193686</v>
      </c>
      <c r="G1012" s="24" t="s">
        <v>1338</v>
      </c>
    </row>
    <row r="1013" spans="1:7" ht="15.75" hidden="1" customHeight="1" x14ac:dyDescent="0.25">
      <c r="A1013" s="24" t="s">
        <v>1328</v>
      </c>
      <c r="B1013" s="24" t="s">
        <v>342</v>
      </c>
      <c r="C1013" s="24" t="s">
        <v>342</v>
      </c>
      <c r="D1013" s="24">
        <v>512903</v>
      </c>
      <c r="E1013" s="24" t="s">
        <v>356</v>
      </c>
      <c r="F1013" s="24">
        <v>9699193686</v>
      </c>
      <c r="G1013" s="24" t="s">
        <v>1339</v>
      </c>
    </row>
    <row r="1014" spans="1:7" ht="15.75" hidden="1" customHeight="1" x14ac:dyDescent="0.25">
      <c r="A1014" s="24" t="s">
        <v>1328</v>
      </c>
      <c r="B1014" s="24" t="s">
        <v>344</v>
      </c>
      <c r="C1014" s="24" t="s">
        <v>345</v>
      </c>
      <c r="D1014" s="24">
        <v>512985</v>
      </c>
      <c r="E1014" s="24" t="s">
        <v>356</v>
      </c>
      <c r="F1014" s="24">
        <v>9699193686</v>
      </c>
      <c r="G1014" s="24" t="s">
        <v>1340</v>
      </c>
    </row>
    <row r="1015" spans="1:7" ht="15.75" hidden="1" customHeight="1" x14ac:dyDescent="0.25">
      <c r="A1015" s="24" t="s">
        <v>1328</v>
      </c>
      <c r="B1015" s="24" t="s">
        <v>347</v>
      </c>
      <c r="C1015" s="24" t="s">
        <v>348</v>
      </c>
      <c r="D1015" s="24">
        <v>512884</v>
      </c>
      <c r="E1015" s="24" t="s">
        <v>356</v>
      </c>
      <c r="F1015" s="24">
        <v>9699193686</v>
      </c>
      <c r="G1015" s="24" t="s">
        <v>1341</v>
      </c>
    </row>
    <row r="1016" spans="1:7" ht="15.75" hidden="1" customHeight="1" x14ac:dyDescent="0.25">
      <c r="A1016" s="24" t="s">
        <v>1328</v>
      </c>
      <c r="B1016" s="24" t="s">
        <v>350</v>
      </c>
      <c r="C1016" s="24" t="s">
        <v>351</v>
      </c>
      <c r="D1016" s="24">
        <v>512902</v>
      </c>
      <c r="E1016" s="24" t="s">
        <v>356</v>
      </c>
      <c r="F1016" s="24">
        <v>9699193686</v>
      </c>
      <c r="G1016" s="24" t="s">
        <v>1342</v>
      </c>
    </row>
    <row r="1017" spans="1:7" ht="15.75" hidden="1" customHeight="1" x14ac:dyDescent="0.25">
      <c r="A1017" s="24" t="s">
        <v>1328</v>
      </c>
      <c r="B1017" s="24" t="s">
        <v>353</v>
      </c>
      <c r="C1017" s="24" t="s">
        <v>353</v>
      </c>
      <c r="D1017" s="24">
        <v>512885</v>
      </c>
      <c r="E1017" s="24" t="s">
        <v>356</v>
      </c>
      <c r="F1017" s="24">
        <v>9699193686</v>
      </c>
      <c r="G1017" s="24" t="s">
        <v>1343</v>
      </c>
    </row>
    <row r="1018" spans="1:7" ht="15.75" hidden="1" customHeight="1" x14ac:dyDescent="0.25">
      <c r="A1018" s="24" t="s">
        <v>1328</v>
      </c>
      <c r="B1018" s="24" t="s">
        <v>851</v>
      </c>
      <c r="C1018" s="24" t="s">
        <v>852</v>
      </c>
      <c r="D1018" s="24">
        <v>612105</v>
      </c>
      <c r="E1018" s="24" t="s">
        <v>356</v>
      </c>
      <c r="F1018" s="24">
        <v>9699193686</v>
      </c>
      <c r="G1018" s="24" t="s">
        <v>1344</v>
      </c>
    </row>
    <row r="1019" spans="1:7" ht="15.75" hidden="1" customHeight="1" x14ac:dyDescent="0.25">
      <c r="A1019" s="24" t="s">
        <v>1328</v>
      </c>
      <c r="B1019" s="24" t="s">
        <v>862</v>
      </c>
      <c r="C1019" s="24" t="s">
        <v>863</v>
      </c>
      <c r="D1019" s="24">
        <v>612105</v>
      </c>
      <c r="E1019" s="24" t="s">
        <v>356</v>
      </c>
      <c r="F1019" s="24">
        <v>9699193686</v>
      </c>
      <c r="G1019" s="24" t="s">
        <v>1345</v>
      </c>
    </row>
    <row r="1020" spans="1:7" ht="15.75" hidden="1" customHeight="1" x14ac:dyDescent="0.25">
      <c r="A1020" s="24" t="s">
        <v>1328</v>
      </c>
      <c r="B1020" s="24" t="s">
        <v>452</v>
      </c>
      <c r="C1020" s="24" t="s">
        <v>453</v>
      </c>
      <c r="D1020" s="24">
        <v>512916</v>
      </c>
      <c r="E1020" s="24" t="s">
        <v>356</v>
      </c>
      <c r="F1020" s="24">
        <v>9699193686</v>
      </c>
      <c r="G1020" s="24" t="s">
        <v>1346</v>
      </c>
    </row>
    <row r="1021" spans="1:7" ht="15.75" hidden="1" customHeight="1" x14ac:dyDescent="0.25">
      <c r="A1021" s="24" t="s">
        <v>1328</v>
      </c>
      <c r="B1021" s="24" t="s">
        <v>822</v>
      </c>
      <c r="C1021" s="24" t="s">
        <v>823</v>
      </c>
      <c r="D1021" s="24">
        <v>612105</v>
      </c>
      <c r="E1021" s="24" t="s">
        <v>356</v>
      </c>
      <c r="F1021" s="24">
        <v>9699193686</v>
      </c>
      <c r="G1021" s="24" t="s">
        <v>1345</v>
      </c>
    </row>
    <row r="1022" spans="1:7" ht="15.75" hidden="1" customHeight="1" x14ac:dyDescent="0.25">
      <c r="A1022" s="24" t="s">
        <v>1328</v>
      </c>
      <c r="B1022" s="24" t="s">
        <v>1066</v>
      </c>
      <c r="C1022" s="24" t="s">
        <v>823</v>
      </c>
      <c r="D1022" s="24">
        <v>612105</v>
      </c>
      <c r="E1022" s="24" t="s">
        <v>356</v>
      </c>
      <c r="F1022" s="24">
        <v>9699193686</v>
      </c>
      <c r="G1022" s="24" t="s">
        <v>1345</v>
      </c>
    </row>
    <row r="1023" spans="1:7" ht="15.75" hidden="1" customHeight="1" x14ac:dyDescent="0.25">
      <c r="A1023" s="24" t="s">
        <v>1347</v>
      </c>
      <c r="B1023" s="24" t="s">
        <v>313</v>
      </c>
      <c r="C1023" s="24" t="s">
        <v>314</v>
      </c>
      <c r="D1023" s="24">
        <v>612105</v>
      </c>
      <c r="E1023" s="24" t="s">
        <v>373</v>
      </c>
      <c r="F1023" s="24">
        <v>9699193686</v>
      </c>
      <c r="G1023" s="24" t="s">
        <v>1348</v>
      </c>
    </row>
    <row r="1024" spans="1:7" ht="15.75" hidden="1" customHeight="1" x14ac:dyDescent="0.25">
      <c r="A1024" s="24" t="s">
        <v>1347</v>
      </c>
      <c r="B1024" s="24" t="s">
        <v>317</v>
      </c>
      <c r="C1024" s="24" t="s">
        <v>318</v>
      </c>
      <c r="D1024" s="24">
        <v>612105</v>
      </c>
      <c r="E1024" s="24" t="s">
        <v>373</v>
      </c>
      <c r="F1024" s="24">
        <v>9699193686</v>
      </c>
      <c r="G1024" s="24" t="s">
        <v>1349</v>
      </c>
    </row>
    <row r="1025" spans="1:7" ht="15.75" hidden="1" customHeight="1" x14ac:dyDescent="0.25">
      <c r="A1025" s="24" t="s">
        <v>1347</v>
      </c>
      <c r="B1025" s="24" t="s">
        <v>320</v>
      </c>
      <c r="C1025" s="24" t="s">
        <v>320</v>
      </c>
      <c r="D1025" s="24">
        <v>611128</v>
      </c>
      <c r="E1025" s="24" t="s">
        <v>373</v>
      </c>
      <c r="F1025" s="24">
        <v>9699193686</v>
      </c>
      <c r="G1025" s="24" t="s">
        <v>1350</v>
      </c>
    </row>
    <row r="1026" spans="1:7" ht="15.75" hidden="1" customHeight="1" x14ac:dyDescent="0.25">
      <c r="A1026" s="24" t="s">
        <v>1347</v>
      </c>
      <c r="B1026" s="24" t="s">
        <v>322</v>
      </c>
      <c r="C1026" s="24" t="s">
        <v>322</v>
      </c>
      <c r="D1026" s="24">
        <v>611129</v>
      </c>
      <c r="E1026" s="24" t="s">
        <v>373</v>
      </c>
      <c r="F1026" s="24">
        <v>9699193686</v>
      </c>
      <c r="G1026" s="24" t="s">
        <v>1351</v>
      </c>
    </row>
    <row r="1027" spans="1:7" ht="15.75" hidden="1" customHeight="1" x14ac:dyDescent="0.25">
      <c r="A1027" s="24" t="s">
        <v>1347</v>
      </c>
      <c r="B1027" s="24" t="s">
        <v>324</v>
      </c>
      <c r="C1027" s="24" t="s">
        <v>324</v>
      </c>
      <c r="D1027" s="24">
        <v>512904</v>
      </c>
      <c r="E1027" s="24" t="s">
        <v>373</v>
      </c>
      <c r="F1027" s="24">
        <v>9699193686</v>
      </c>
      <c r="G1027" s="24" t="s">
        <v>1352</v>
      </c>
    </row>
    <row r="1028" spans="1:7" ht="15.75" hidden="1" customHeight="1" x14ac:dyDescent="0.25">
      <c r="A1028" s="24" t="s">
        <v>1347</v>
      </c>
      <c r="B1028" s="24" t="s">
        <v>332</v>
      </c>
      <c r="C1028" s="24" t="s">
        <v>330</v>
      </c>
      <c r="D1028" s="24">
        <v>611129</v>
      </c>
      <c r="E1028" s="24" t="s">
        <v>373</v>
      </c>
      <c r="F1028" s="24">
        <v>9699193686</v>
      </c>
      <c r="G1028" s="24" t="s">
        <v>1353</v>
      </c>
    </row>
    <row r="1029" spans="1:7" ht="15.75" hidden="1" customHeight="1" x14ac:dyDescent="0.25">
      <c r="A1029" s="24" t="s">
        <v>1347</v>
      </c>
      <c r="B1029" s="24" t="s">
        <v>333</v>
      </c>
      <c r="C1029" s="24" t="s">
        <v>334</v>
      </c>
      <c r="D1029" s="24">
        <v>612106</v>
      </c>
      <c r="E1029" s="24" t="s">
        <v>373</v>
      </c>
      <c r="F1029" s="24">
        <v>9699193686</v>
      </c>
      <c r="G1029" s="24" t="s">
        <v>1354</v>
      </c>
    </row>
    <row r="1030" spans="1:7" ht="15.75" hidden="1" customHeight="1" x14ac:dyDescent="0.25">
      <c r="A1030" s="24" t="s">
        <v>1347</v>
      </c>
      <c r="B1030" s="24" t="s">
        <v>336</v>
      </c>
      <c r="C1030" s="24" t="s">
        <v>336</v>
      </c>
      <c r="D1030" s="24">
        <v>512883</v>
      </c>
      <c r="E1030" s="24" t="s">
        <v>373</v>
      </c>
      <c r="F1030" s="24">
        <v>9699193686</v>
      </c>
      <c r="G1030" s="24" t="s">
        <v>1355</v>
      </c>
    </row>
    <row r="1031" spans="1:7" ht="15.75" hidden="1" customHeight="1" x14ac:dyDescent="0.25">
      <c r="A1031" s="24" t="s">
        <v>1347</v>
      </c>
      <c r="B1031" s="24" t="s">
        <v>338</v>
      </c>
      <c r="C1031" s="24" t="s">
        <v>338</v>
      </c>
      <c r="D1031" s="24">
        <v>512908</v>
      </c>
      <c r="E1031" s="24" t="s">
        <v>373</v>
      </c>
      <c r="F1031" s="24">
        <v>9699193686</v>
      </c>
      <c r="G1031" s="24" t="s">
        <v>1356</v>
      </c>
    </row>
    <row r="1032" spans="1:7" ht="15.75" hidden="1" customHeight="1" x14ac:dyDescent="0.25">
      <c r="A1032" s="24" t="s">
        <v>1347</v>
      </c>
      <c r="B1032" s="24" t="s">
        <v>340</v>
      </c>
      <c r="C1032" s="24" t="s">
        <v>340</v>
      </c>
      <c r="D1032" s="24">
        <v>512903</v>
      </c>
      <c r="E1032" s="24" t="s">
        <v>373</v>
      </c>
      <c r="F1032" s="24">
        <v>9699193686</v>
      </c>
      <c r="G1032" s="24" t="s">
        <v>1357</v>
      </c>
    </row>
    <row r="1033" spans="1:7" ht="15.75" hidden="1" customHeight="1" x14ac:dyDescent="0.25">
      <c r="A1033" s="24" t="s">
        <v>1347</v>
      </c>
      <c r="B1033" s="24" t="s">
        <v>342</v>
      </c>
      <c r="C1033" s="24" t="s">
        <v>342</v>
      </c>
      <c r="D1033" s="24">
        <v>512903</v>
      </c>
      <c r="E1033" s="24" t="s">
        <v>373</v>
      </c>
      <c r="F1033" s="24">
        <v>9699193686</v>
      </c>
      <c r="G1033" s="24" t="s">
        <v>1358</v>
      </c>
    </row>
    <row r="1034" spans="1:7" ht="15.75" hidden="1" customHeight="1" x14ac:dyDescent="0.25">
      <c r="A1034" s="24" t="s">
        <v>1347</v>
      </c>
      <c r="B1034" s="24" t="s">
        <v>344</v>
      </c>
      <c r="C1034" s="24" t="s">
        <v>345</v>
      </c>
      <c r="D1034" s="24">
        <v>512985</v>
      </c>
      <c r="E1034" s="24" t="s">
        <v>373</v>
      </c>
      <c r="F1034" s="24">
        <v>9699193686</v>
      </c>
      <c r="G1034" s="24" t="s">
        <v>1359</v>
      </c>
    </row>
    <row r="1035" spans="1:7" ht="15.75" hidden="1" customHeight="1" x14ac:dyDescent="0.25">
      <c r="A1035" s="24" t="s">
        <v>1347</v>
      </c>
      <c r="B1035" s="24" t="s">
        <v>434</v>
      </c>
      <c r="C1035" s="24" t="s">
        <v>348</v>
      </c>
      <c r="D1035" s="24">
        <v>512884</v>
      </c>
      <c r="E1035" s="24" t="s">
        <v>373</v>
      </c>
      <c r="F1035" s="24">
        <v>9699193686</v>
      </c>
      <c r="G1035" s="24" t="s">
        <v>1360</v>
      </c>
    </row>
    <row r="1036" spans="1:7" ht="15.75" hidden="1" customHeight="1" x14ac:dyDescent="0.25">
      <c r="A1036" s="24" t="s">
        <v>1347</v>
      </c>
      <c r="B1036" s="24" t="s">
        <v>452</v>
      </c>
      <c r="C1036" s="24" t="s">
        <v>453</v>
      </c>
      <c r="D1036" s="24">
        <v>512916</v>
      </c>
      <c r="E1036" s="24" t="s">
        <v>373</v>
      </c>
      <c r="F1036" s="24">
        <v>9699193686</v>
      </c>
      <c r="G1036" s="24" t="s">
        <v>1361</v>
      </c>
    </row>
    <row r="1037" spans="1:7" ht="15.75" hidden="1" customHeight="1" x14ac:dyDescent="0.25">
      <c r="A1037" s="24" t="s">
        <v>1347</v>
      </c>
      <c r="B1037" s="24" t="s">
        <v>455</v>
      </c>
      <c r="C1037" s="24" t="s">
        <v>453</v>
      </c>
      <c r="D1037" s="24">
        <v>512916</v>
      </c>
      <c r="E1037" s="24" t="s">
        <v>373</v>
      </c>
      <c r="F1037" s="24">
        <v>9699193686</v>
      </c>
      <c r="G1037" s="24" t="s">
        <v>1361</v>
      </c>
    </row>
    <row r="1038" spans="1:7" ht="15.75" hidden="1" customHeight="1" x14ac:dyDescent="0.25">
      <c r="A1038" s="24" t="s">
        <v>1347</v>
      </c>
      <c r="B1038" s="24" t="s">
        <v>350</v>
      </c>
      <c r="C1038" s="24" t="s">
        <v>351</v>
      </c>
      <c r="D1038" s="24">
        <v>512902</v>
      </c>
      <c r="E1038" s="24" t="s">
        <v>373</v>
      </c>
      <c r="F1038" s="24">
        <v>9699193686</v>
      </c>
      <c r="G1038" s="24" t="s">
        <v>1362</v>
      </c>
    </row>
    <row r="1039" spans="1:7" ht="15.75" hidden="1" customHeight="1" x14ac:dyDescent="0.25">
      <c r="A1039" s="24" t="s">
        <v>1347</v>
      </c>
      <c r="B1039" s="24" t="s">
        <v>353</v>
      </c>
      <c r="C1039" s="24" t="s">
        <v>353</v>
      </c>
      <c r="D1039" s="24">
        <v>512885</v>
      </c>
      <c r="E1039" s="24" t="s">
        <v>373</v>
      </c>
      <c r="F1039" s="24">
        <v>9699193686</v>
      </c>
      <c r="G1039" s="24" t="s">
        <v>1363</v>
      </c>
    </row>
    <row r="1040" spans="1:7" ht="15.75" hidden="1" customHeight="1" x14ac:dyDescent="0.25">
      <c r="A1040" s="24" t="s">
        <v>1364</v>
      </c>
      <c r="B1040" s="24" t="s">
        <v>313</v>
      </c>
      <c r="C1040" s="24" t="s">
        <v>314</v>
      </c>
      <c r="D1040" s="24">
        <v>612105</v>
      </c>
      <c r="E1040" s="24" t="s">
        <v>373</v>
      </c>
      <c r="F1040" s="24">
        <v>9699193686</v>
      </c>
      <c r="G1040" s="24" t="s">
        <v>1365</v>
      </c>
    </row>
    <row r="1041" spans="1:7" ht="15.75" hidden="1" customHeight="1" x14ac:dyDescent="0.25">
      <c r="A1041" s="24" t="s">
        <v>1364</v>
      </c>
      <c r="B1041" s="24" t="s">
        <v>317</v>
      </c>
      <c r="C1041" s="24" t="s">
        <v>318</v>
      </c>
      <c r="D1041" s="24">
        <v>612105</v>
      </c>
      <c r="E1041" s="24" t="s">
        <v>373</v>
      </c>
      <c r="F1041" s="24">
        <v>9699193686</v>
      </c>
      <c r="G1041" s="24" t="s">
        <v>1366</v>
      </c>
    </row>
    <row r="1042" spans="1:7" ht="15.75" hidden="1" customHeight="1" x14ac:dyDescent="0.25">
      <c r="A1042" s="24" t="s">
        <v>1364</v>
      </c>
      <c r="B1042" s="24" t="s">
        <v>320</v>
      </c>
      <c r="C1042" s="24" t="s">
        <v>320</v>
      </c>
      <c r="D1042" s="24">
        <v>611128</v>
      </c>
      <c r="E1042" s="24" t="s">
        <v>373</v>
      </c>
      <c r="F1042" s="24">
        <v>9699193686</v>
      </c>
      <c r="G1042" s="24" t="s">
        <v>1367</v>
      </c>
    </row>
    <row r="1043" spans="1:7" ht="15.75" hidden="1" customHeight="1" x14ac:dyDescent="0.25">
      <c r="A1043" s="24" t="s">
        <v>1364</v>
      </c>
      <c r="B1043" s="24" t="s">
        <v>322</v>
      </c>
      <c r="C1043" s="24" t="s">
        <v>322</v>
      </c>
      <c r="D1043" s="24">
        <v>611129</v>
      </c>
      <c r="E1043" s="24" t="s">
        <v>373</v>
      </c>
      <c r="F1043" s="24">
        <v>9699193686</v>
      </c>
      <c r="G1043" s="24" t="s">
        <v>1368</v>
      </c>
    </row>
    <row r="1044" spans="1:7" ht="15.75" hidden="1" customHeight="1" x14ac:dyDescent="0.25">
      <c r="A1044" s="24" t="s">
        <v>1364</v>
      </c>
      <c r="B1044" s="24" t="s">
        <v>324</v>
      </c>
      <c r="C1044" s="24" t="s">
        <v>324</v>
      </c>
      <c r="D1044" s="24">
        <v>512904</v>
      </c>
      <c r="E1044" s="24" t="s">
        <v>373</v>
      </c>
      <c r="F1044" s="24">
        <v>9699193686</v>
      </c>
      <c r="G1044" s="24" t="s">
        <v>1369</v>
      </c>
    </row>
    <row r="1045" spans="1:7" ht="15.75" hidden="1" customHeight="1" x14ac:dyDescent="0.25">
      <c r="A1045" s="24" t="s">
        <v>1364</v>
      </c>
      <c r="B1045" s="24" t="s">
        <v>332</v>
      </c>
      <c r="C1045" s="24" t="s">
        <v>330</v>
      </c>
      <c r="D1045" s="24">
        <v>611129</v>
      </c>
      <c r="E1045" s="24" t="s">
        <v>373</v>
      </c>
      <c r="F1045" s="24">
        <v>9699193686</v>
      </c>
      <c r="G1045" s="24" t="s">
        <v>1370</v>
      </c>
    </row>
    <row r="1046" spans="1:7" ht="15.75" hidden="1" customHeight="1" x14ac:dyDescent="0.25">
      <c r="A1046" s="24" t="s">
        <v>1364</v>
      </c>
      <c r="B1046" s="24" t="s">
        <v>333</v>
      </c>
      <c r="C1046" s="24" t="s">
        <v>334</v>
      </c>
      <c r="D1046" s="24">
        <v>612106</v>
      </c>
      <c r="E1046" s="24" t="s">
        <v>373</v>
      </c>
      <c r="F1046" s="24">
        <v>9699193686</v>
      </c>
      <c r="G1046" s="24" t="s">
        <v>1371</v>
      </c>
    </row>
    <row r="1047" spans="1:7" ht="15.75" hidden="1" customHeight="1" x14ac:dyDescent="0.25">
      <c r="A1047" s="24" t="s">
        <v>1364</v>
      </c>
      <c r="B1047" s="24" t="s">
        <v>336</v>
      </c>
      <c r="C1047" s="24" t="s">
        <v>336</v>
      </c>
      <c r="D1047" s="24">
        <v>512883</v>
      </c>
      <c r="E1047" s="24" t="s">
        <v>373</v>
      </c>
      <c r="F1047" s="24">
        <v>9699193686</v>
      </c>
      <c r="G1047" s="24" t="s">
        <v>1372</v>
      </c>
    </row>
    <row r="1048" spans="1:7" ht="15.75" hidden="1" customHeight="1" x14ac:dyDescent="0.25">
      <c r="A1048" s="24" t="s">
        <v>1364</v>
      </c>
      <c r="B1048" s="24" t="s">
        <v>338</v>
      </c>
      <c r="C1048" s="24" t="s">
        <v>338</v>
      </c>
      <c r="D1048" s="24">
        <v>512908</v>
      </c>
      <c r="E1048" s="24" t="s">
        <v>373</v>
      </c>
      <c r="F1048" s="24">
        <v>9699193686</v>
      </c>
      <c r="G1048" s="24" t="s">
        <v>1373</v>
      </c>
    </row>
    <row r="1049" spans="1:7" ht="15.75" hidden="1" customHeight="1" x14ac:dyDescent="0.25">
      <c r="A1049" s="24" t="s">
        <v>1364</v>
      </c>
      <c r="B1049" s="24" t="s">
        <v>340</v>
      </c>
      <c r="C1049" s="24" t="s">
        <v>340</v>
      </c>
      <c r="D1049" s="24">
        <v>512903</v>
      </c>
      <c r="E1049" s="24" t="s">
        <v>373</v>
      </c>
      <c r="F1049" s="24">
        <v>9699193686</v>
      </c>
      <c r="G1049" s="24" t="s">
        <v>1374</v>
      </c>
    </row>
    <row r="1050" spans="1:7" ht="15.75" hidden="1" customHeight="1" x14ac:dyDescent="0.25">
      <c r="A1050" s="24" t="s">
        <v>1364</v>
      </c>
      <c r="B1050" s="24" t="s">
        <v>342</v>
      </c>
      <c r="C1050" s="24" t="s">
        <v>342</v>
      </c>
      <c r="D1050" s="24">
        <v>512903</v>
      </c>
      <c r="E1050" s="24" t="s">
        <v>373</v>
      </c>
      <c r="F1050" s="24">
        <v>9699193686</v>
      </c>
      <c r="G1050" s="24" t="s">
        <v>1375</v>
      </c>
    </row>
    <row r="1051" spans="1:7" ht="15.75" hidden="1" customHeight="1" x14ac:dyDescent="0.25">
      <c r="A1051" s="24" t="s">
        <v>1364</v>
      </c>
      <c r="B1051" s="24" t="s">
        <v>344</v>
      </c>
      <c r="C1051" s="24" t="s">
        <v>345</v>
      </c>
      <c r="D1051" s="24">
        <v>512985</v>
      </c>
      <c r="E1051" s="24" t="s">
        <v>373</v>
      </c>
      <c r="F1051" s="24">
        <v>9699193686</v>
      </c>
      <c r="G1051" s="24" t="s">
        <v>1376</v>
      </c>
    </row>
    <row r="1052" spans="1:7" ht="15.75" hidden="1" customHeight="1" x14ac:dyDescent="0.25">
      <c r="A1052" s="24" t="s">
        <v>1364</v>
      </c>
      <c r="B1052" s="24" t="s">
        <v>434</v>
      </c>
      <c r="C1052" s="24" t="s">
        <v>348</v>
      </c>
      <c r="D1052" s="24">
        <v>512884</v>
      </c>
      <c r="E1052" s="24" t="s">
        <v>373</v>
      </c>
      <c r="F1052" s="24">
        <v>9699193686</v>
      </c>
      <c r="G1052" s="24" t="s">
        <v>1377</v>
      </c>
    </row>
    <row r="1053" spans="1:7" ht="15.75" hidden="1" customHeight="1" x14ac:dyDescent="0.25">
      <c r="A1053" s="24" t="s">
        <v>1364</v>
      </c>
      <c r="B1053" s="24" t="s">
        <v>452</v>
      </c>
      <c r="C1053" s="24" t="s">
        <v>453</v>
      </c>
      <c r="D1053" s="24">
        <v>512916</v>
      </c>
      <c r="E1053" s="24" t="s">
        <v>373</v>
      </c>
      <c r="F1053" s="24">
        <v>9699193686</v>
      </c>
      <c r="G1053" s="24" t="s">
        <v>1378</v>
      </c>
    </row>
    <row r="1054" spans="1:7" ht="15.75" hidden="1" customHeight="1" x14ac:dyDescent="0.25">
      <c r="A1054" s="24" t="s">
        <v>1364</v>
      </c>
      <c r="B1054" s="24" t="s">
        <v>455</v>
      </c>
      <c r="C1054" s="24" t="s">
        <v>453</v>
      </c>
      <c r="D1054" s="24">
        <v>512916</v>
      </c>
      <c r="E1054" s="24" t="s">
        <v>373</v>
      </c>
      <c r="F1054" s="24">
        <v>9699193686</v>
      </c>
      <c r="G1054" s="24" t="s">
        <v>1378</v>
      </c>
    </row>
    <row r="1055" spans="1:7" ht="15.75" hidden="1" customHeight="1" x14ac:dyDescent="0.25">
      <c r="A1055" s="24" t="s">
        <v>1364</v>
      </c>
      <c r="B1055" s="24" t="s">
        <v>350</v>
      </c>
      <c r="C1055" s="24" t="s">
        <v>351</v>
      </c>
      <c r="D1055" s="24">
        <v>512902</v>
      </c>
      <c r="E1055" s="24" t="s">
        <v>373</v>
      </c>
      <c r="F1055" s="24">
        <v>9699193686</v>
      </c>
      <c r="G1055" s="24" t="s">
        <v>1379</v>
      </c>
    </row>
    <row r="1056" spans="1:7" ht="15.75" hidden="1" customHeight="1" x14ac:dyDescent="0.25">
      <c r="A1056" s="24" t="s">
        <v>1364</v>
      </c>
      <c r="B1056" s="24" t="s">
        <v>353</v>
      </c>
      <c r="C1056" s="24" t="s">
        <v>353</v>
      </c>
      <c r="D1056" s="24">
        <v>512885</v>
      </c>
      <c r="E1056" s="24" t="s">
        <v>373</v>
      </c>
      <c r="F1056" s="24">
        <v>9699193686</v>
      </c>
      <c r="G1056" s="24" t="s">
        <v>1380</v>
      </c>
    </row>
    <row r="1057" spans="1:7" ht="15.75" hidden="1" customHeight="1" x14ac:dyDescent="0.25">
      <c r="A1057" s="24" t="s">
        <v>1381</v>
      </c>
      <c r="B1057" s="24" t="s">
        <v>313</v>
      </c>
      <c r="C1057" s="24" t="s">
        <v>314</v>
      </c>
      <c r="D1057" s="24">
        <v>612105</v>
      </c>
      <c r="E1057" s="24" t="s">
        <v>373</v>
      </c>
      <c r="F1057" s="24">
        <v>9699193686</v>
      </c>
      <c r="G1057" s="24" t="s">
        <v>1382</v>
      </c>
    </row>
    <row r="1058" spans="1:7" ht="15.75" hidden="1" customHeight="1" x14ac:dyDescent="0.25">
      <c r="A1058" s="24" t="s">
        <v>1381</v>
      </c>
      <c r="B1058" s="24" t="s">
        <v>317</v>
      </c>
      <c r="C1058" s="24" t="s">
        <v>318</v>
      </c>
      <c r="D1058" s="24">
        <v>612105</v>
      </c>
      <c r="E1058" s="24" t="s">
        <v>373</v>
      </c>
      <c r="F1058" s="24">
        <v>9699193686</v>
      </c>
      <c r="G1058" s="24" t="s">
        <v>1383</v>
      </c>
    </row>
    <row r="1059" spans="1:7" ht="15.75" hidden="1" customHeight="1" x14ac:dyDescent="0.25">
      <c r="A1059" s="24" t="s">
        <v>1381</v>
      </c>
      <c r="B1059" s="24" t="s">
        <v>320</v>
      </c>
      <c r="C1059" s="24" t="s">
        <v>320</v>
      </c>
      <c r="D1059" s="24">
        <v>611128</v>
      </c>
      <c r="E1059" s="24" t="s">
        <v>373</v>
      </c>
      <c r="F1059" s="24">
        <v>9699193686</v>
      </c>
      <c r="G1059" s="24" t="s">
        <v>1384</v>
      </c>
    </row>
    <row r="1060" spans="1:7" ht="15.75" hidden="1" customHeight="1" x14ac:dyDescent="0.25">
      <c r="A1060" s="24" t="s">
        <v>1381</v>
      </c>
      <c r="B1060" s="24" t="s">
        <v>322</v>
      </c>
      <c r="C1060" s="24" t="s">
        <v>322</v>
      </c>
      <c r="D1060" s="24">
        <v>611129</v>
      </c>
      <c r="E1060" s="24" t="s">
        <v>373</v>
      </c>
      <c r="F1060" s="24">
        <v>9699193686</v>
      </c>
      <c r="G1060" s="24" t="s">
        <v>1385</v>
      </c>
    </row>
    <row r="1061" spans="1:7" ht="15.75" hidden="1" customHeight="1" x14ac:dyDescent="0.25">
      <c r="A1061" s="24" t="s">
        <v>1381</v>
      </c>
      <c r="B1061" s="24" t="s">
        <v>324</v>
      </c>
      <c r="C1061" s="24" t="s">
        <v>324</v>
      </c>
      <c r="D1061" s="24">
        <v>512904</v>
      </c>
      <c r="E1061" s="24" t="s">
        <v>373</v>
      </c>
      <c r="F1061" s="24">
        <v>9699193686</v>
      </c>
      <c r="G1061" s="24" t="s">
        <v>1386</v>
      </c>
    </row>
    <row r="1062" spans="1:7" ht="15.75" hidden="1" customHeight="1" x14ac:dyDescent="0.25">
      <c r="A1062" s="24" t="s">
        <v>1381</v>
      </c>
      <c r="B1062" s="24" t="s">
        <v>332</v>
      </c>
      <c r="C1062" s="24" t="s">
        <v>330</v>
      </c>
      <c r="D1062" s="24">
        <v>611129</v>
      </c>
      <c r="E1062" s="24" t="s">
        <v>373</v>
      </c>
      <c r="F1062" s="24">
        <v>9699193686</v>
      </c>
      <c r="G1062" s="24" t="s">
        <v>1387</v>
      </c>
    </row>
    <row r="1063" spans="1:7" ht="15.75" hidden="1" customHeight="1" x14ac:dyDescent="0.25">
      <c r="A1063" s="24" t="s">
        <v>1381</v>
      </c>
      <c r="B1063" s="24" t="s">
        <v>333</v>
      </c>
      <c r="C1063" s="24" t="s">
        <v>334</v>
      </c>
      <c r="D1063" s="24">
        <v>612106</v>
      </c>
      <c r="E1063" s="24" t="s">
        <v>373</v>
      </c>
      <c r="F1063" s="24">
        <v>9699193686</v>
      </c>
      <c r="G1063" s="24" t="s">
        <v>1388</v>
      </c>
    </row>
    <row r="1064" spans="1:7" ht="15.75" hidden="1" customHeight="1" x14ac:dyDescent="0.25">
      <c r="A1064" s="24" t="s">
        <v>1381</v>
      </c>
      <c r="B1064" s="24" t="s">
        <v>336</v>
      </c>
      <c r="C1064" s="24" t="s">
        <v>336</v>
      </c>
      <c r="D1064" s="24">
        <v>512883</v>
      </c>
      <c r="E1064" s="24" t="s">
        <v>373</v>
      </c>
      <c r="F1064" s="24">
        <v>9699193686</v>
      </c>
      <c r="G1064" s="24" t="s">
        <v>1389</v>
      </c>
    </row>
    <row r="1065" spans="1:7" ht="15.75" hidden="1" customHeight="1" x14ac:dyDescent="0.25">
      <c r="A1065" s="24" t="s">
        <v>1381</v>
      </c>
      <c r="B1065" s="24" t="s">
        <v>338</v>
      </c>
      <c r="C1065" s="24" t="s">
        <v>338</v>
      </c>
      <c r="D1065" s="24">
        <v>512908</v>
      </c>
      <c r="E1065" s="24" t="s">
        <v>373</v>
      </c>
      <c r="F1065" s="24">
        <v>9699193686</v>
      </c>
      <c r="G1065" s="24" t="s">
        <v>1390</v>
      </c>
    </row>
    <row r="1066" spans="1:7" ht="15.75" hidden="1" customHeight="1" x14ac:dyDescent="0.25">
      <c r="A1066" s="24" t="s">
        <v>1381</v>
      </c>
      <c r="B1066" s="24" t="s">
        <v>340</v>
      </c>
      <c r="C1066" s="24" t="s">
        <v>340</v>
      </c>
      <c r="D1066" s="24">
        <v>512903</v>
      </c>
      <c r="E1066" s="24" t="s">
        <v>373</v>
      </c>
      <c r="F1066" s="24">
        <v>9699193686</v>
      </c>
      <c r="G1066" s="24" t="s">
        <v>1391</v>
      </c>
    </row>
    <row r="1067" spans="1:7" ht="15.75" hidden="1" customHeight="1" x14ac:dyDescent="0.25">
      <c r="A1067" s="24" t="s">
        <v>1381</v>
      </c>
      <c r="B1067" s="24" t="s">
        <v>342</v>
      </c>
      <c r="C1067" s="24" t="s">
        <v>342</v>
      </c>
      <c r="D1067" s="24">
        <v>512903</v>
      </c>
      <c r="E1067" s="24" t="s">
        <v>373</v>
      </c>
      <c r="F1067" s="24">
        <v>9699193686</v>
      </c>
      <c r="G1067" s="24" t="s">
        <v>1392</v>
      </c>
    </row>
    <row r="1068" spans="1:7" ht="15.75" hidden="1" customHeight="1" x14ac:dyDescent="0.25">
      <c r="A1068" s="24" t="s">
        <v>1381</v>
      </c>
      <c r="B1068" s="24" t="s">
        <v>344</v>
      </c>
      <c r="C1068" s="24" t="s">
        <v>345</v>
      </c>
      <c r="D1068" s="24">
        <v>512985</v>
      </c>
      <c r="E1068" s="24" t="s">
        <v>373</v>
      </c>
      <c r="F1068" s="24">
        <v>9699193686</v>
      </c>
      <c r="G1068" s="24" t="s">
        <v>1393</v>
      </c>
    </row>
    <row r="1069" spans="1:7" ht="15.75" hidden="1" customHeight="1" x14ac:dyDescent="0.25">
      <c r="A1069" s="24" t="s">
        <v>1381</v>
      </c>
      <c r="B1069" s="24" t="s">
        <v>434</v>
      </c>
      <c r="C1069" s="24" t="s">
        <v>348</v>
      </c>
      <c r="D1069" s="24">
        <v>512884</v>
      </c>
      <c r="E1069" s="24" t="s">
        <v>373</v>
      </c>
      <c r="F1069" s="24">
        <v>9699193686</v>
      </c>
      <c r="G1069" s="24" t="s">
        <v>1394</v>
      </c>
    </row>
    <row r="1070" spans="1:7" ht="15.75" hidden="1" customHeight="1" x14ac:dyDescent="0.25">
      <c r="A1070" s="24" t="s">
        <v>1381</v>
      </c>
      <c r="B1070" s="24" t="s">
        <v>452</v>
      </c>
      <c r="C1070" s="24" t="s">
        <v>453</v>
      </c>
      <c r="D1070" s="24">
        <v>512916</v>
      </c>
      <c r="E1070" s="24" t="s">
        <v>373</v>
      </c>
      <c r="F1070" s="24">
        <v>9699193686</v>
      </c>
      <c r="G1070" s="24" t="s">
        <v>1395</v>
      </c>
    </row>
    <row r="1071" spans="1:7" ht="15.75" hidden="1" customHeight="1" x14ac:dyDescent="0.25">
      <c r="A1071" s="24" t="s">
        <v>1381</v>
      </c>
      <c r="B1071" s="24" t="s">
        <v>455</v>
      </c>
      <c r="C1071" s="24" t="s">
        <v>453</v>
      </c>
      <c r="D1071" s="24">
        <v>512916</v>
      </c>
      <c r="E1071" s="24" t="s">
        <v>373</v>
      </c>
      <c r="F1071" s="24">
        <v>9699193686</v>
      </c>
      <c r="G1071" s="24" t="s">
        <v>1395</v>
      </c>
    </row>
    <row r="1072" spans="1:7" ht="15.75" hidden="1" customHeight="1" x14ac:dyDescent="0.25">
      <c r="A1072" s="24" t="s">
        <v>1381</v>
      </c>
      <c r="B1072" s="24" t="s">
        <v>350</v>
      </c>
      <c r="C1072" s="24" t="s">
        <v>351</v>
      </c>
      <c r="D1072" s="24">
        <v>512902</v>
      </c>
      <c r="E1072" s="24" t="s">
        <v>373</v>
      </c>
      <c r="F1072" s="24">
        <v>9699193686</v>
      </c>
      <c r="G1072" s="24" t="s">
        <v>1396</v>
      </c>
    </row>
    <row r="1073" spans="1:7" ht="15.75" hidden="1" customHeight="1" x14ac:dyDescent="0.25">
      <c r="A1073" s="24" t="s">
        <v>1381</v>
      </c>
      <c r="B1073" s="24" t="s">
        <v>353</v>
      </c>
      <c r="C1073" s="24" t="s">
        <v>353</v>
      </c>
      <c r="D1073" s="24">
        <v>512885</v>
      </c>
      <c r="E1073" s="24" t="s">
        <v>373</v>
      </c>
      <c r="F1073" s="24">
        <v>9699193686</v>
      </c>
      <c r="G1073" s="24" t="s">
        <v>1397</v>
      </c>
    </row>
    <row r="1074" spans="1:7" ht="15.75" hidden="1" customHeight="1" x14ac:dyDescent="0.25">
      <c r="A1074" s="24" t="s">
        <v>1398</v>
      </c>
      <c r="B1074" s="24" t="s">
        <v>313</v>
      </c>
      <c r="C1074" s="24" t="s">
        <v>314</v>
      </c>
      <c r="D1074" s="24">
        <v>612105</v>
      </c>
      <c r="E1074" s="24" t="s">
        <v>373</v>
      </c>
      <c r="F1074" s="24">
        <v>9699193686</v>
      </c>
      <c r="G1074" s="24" t="s">
        <v>1399</v>
      </c>
    </row>
    <row r="1075" spans="1:7" ht="15.75" hidden="1" customHeight="1" x14ac:dyDescent="0.25">
      <c r="A1075" s="24" t="s">
        <v>1398</v>
      </c>
      <c r="B1075" s="24" t="s">
        <v>317</v>
      </c>
      <c r="C1075" s="24" t="s">
        <v>318</v>
      </c>
      <c r="D1075" s="24">
        <v>612105</v>
      </c>
      <c r="E1075" s="24" t="s">
        <v>373</v>
      </c>
      <c r="F1075" s="24">
        <v>9699193686</v>
      </c>
      <c r="G1075" s="24" t="s">
        <v>1400</v>
      </c>
    </row>
    <row r="1076" spans="1:7" ht="15.75" hidden="1" customHeight="1" x14ac:dyDescent="0.25">
      <c r="A1076" s="24" t="s">
        <v>1398</v>
      </c>
      <c r="B1076" s="24" t="s">
        <v>320</v>
      </c>
      <c r="C1076" s="24" t="s">
        <v>320</v>
      </c>
      <c r="D1076" s="24">
        <v>611128</v>
      </c>
      <c r="E1076" s="24" t="s">
        <v>373</v>
      </c>
      <c r="F1076" s="24">
        <v>9699193686</v>
      </c>
      <c r="G1076" s="24" t="s">
        <v>1401</v>
      </c>
    </row>
    <row r="1077" spans="1:7" ht="15.75" hidden="1" customHeight="1" x14ac:dyDescent="0.25">
      <c r="A1077" s="24" t="s">
        <v>1398</v>
      </c>
      <c r="B1077" s="24" t="s">
        <v>322</v>
      </c>
      <c r="C1077" s="24" t="s">
        <v>322</v>
      </c>
      <c r="D1077" s="24">
        <v>611129</v>
      </c>
      <c r="E1077" s="24" t="s">
        <v>373</v>
      </c>
      <c r="F1077" s="24">
        <v>9699193686</v>
      </c>
      <c r="G1077" s="24" t="s">
        <v>1402</v>
      </c>
    </row>
    <row r="1078" spans="1:7" ht="15.75" hidden="1" customHeight="1" x14ac:dyDescent="0.25">
      <c r="A1078" s="24" t="s">
        <v>1398</v>
      </c>
      <c r="B1078" s="24" t="s">
        <v>324</v>
      </c>
      <c r="C1078" s="24" t="s">
        <v>324</v>
      </c>
      <c r="D1078" s="24">
        <v>512904</v>
      </c>
      <c r="E1078" s="24" t="s">
        <v>373</v>
      </c>
      <c r="F1078" s="24">
        <v>9699193686</v>
      </c>
      <c r="G1078" s="24" t="s">
        <v>1403</v>
      </c>
    </row>
    <row r="1079" spans="1:7" ht="15.75" hidden="1" customHeight="1" x14ac:dyDescent="0.25">
      <c r="A1079" s="24" t="s">
        <v>1398</v>
      </c>
      <c r="B1079" s="24" t="s">
        <v>332</v>
      </c>
      <c r="C1079" s="24" t="s">
        <v>330</v>
      </c>
      <c r="D1079" s="24">
        <v>611129</v>
      </c>
      <c r="E1079" s="24" t="s">
        <v>373</v>
      </c>
      <c r="F1079" s="24">
        <v>9699193686</v>
      </c>
      <c r="G1079" s="24" t="s">
        <v>1404</v>
      </c>
    </row>
    <row r="1080" spans="1:7" ht="15.75" hidden="1" customHeight="1" x14ac:dyDescent="0.25">
      <c r="A1080" s="24" t="s">
        <v>1398</v>
      </c>
      <c r="B1080" s="24" t="s">
        <v>333</v>
      </c>
      <c r="C1080" s="24" t="s">
        <v>334</v>
      </c>
      <c r="D1080" s="24">
        <v>612106</v>
      </c>
      <c r="E1080" s="24" t="s">
        <v>373</v>
      </c>
      <c r="F1080" s="24">
        <v>9699193686</v>
      </c>
      <c r="G1080" s="24" t="s">
        <v>1405</v>
      </c>
    </row>
    <row r="1081" spans="1:7" ht="15.75" hidden="1" customHeight="1" x14ac:dyDescent="0.25">
      <c r="A1081" s="24" t="s">
        <v>1398</v>
      </c>
      <c r="B1081" s="24" t="s">
        <v>336</v>
      </c>
      <c r="C1081" s="24" t="s">
        <v>336</v>
      </c>
      <c r="D1081" s="24">
        <v>512883</v>
      </c>
      <c r="E1081" s="24" t="s">
        <v>373</v>
      </c>
      <c r="F1081" s="24">
        <v>9699193686</v>
      </c>
      <c r="G1081" s="24" t="s">
        <v>1406</v>
      </c>
    </row>
    <row r="1082" spans="1:7" ht="15.75" hidden="1" customHeight="1" x14ac:dyDescent="0.25">
      <c r="A1082" s="24" t="s">
        <v>1398</v>
      </c>
      <c r="B1082" s="24" t="s">
        <v>338</v>
      </c>
      <c r="C1082" s="24" t="s">
        <v>338</v>
      </c>
      <c r="D1082" s="24">
        <v>512908</v>
      </c>
      <c r="E1082" s="24" t="s">
        <v>373</v>
      </c>
      <c r="F1082" s="24">
        <v>9699193686</v>
      </c>
      <c r="G1082" s="24" t="s">
        <v>1407</v>
      </c>
    </row>
    <row r="1083" spans="1:7" ht="15.75" hidden="1" customHeight="1" x14ac:dyDescent="0.25">
      <c r="A1083" s="24" t="s">
        <v>1398</v>
      </c>
      <c r="B1083" s="24" t="s">
        <v>340</v>
      </c>
      <c r="C1083" s="24" t="s">
        <v>340</v>
      </c>
      <c r="D1083" s="24">
        <v>512903</v>
      </c>
      <c r="E1083" s="24" t="s">
        <v>373</v>
      </c>
      <c r="F1083" s="24">
        <v>9699193686</v>
      </c>
      <c r="G1083" s="24" t="s">
        <v>1408</v>
      </c>
    </row>
    <row r="1084" spans="1:7" ht="15.75" hidden="1" customHeight="1" x14ac:dyDescent="0.25">
      <c r="A1084" s="24" t="s">
        <v>1398</v>
      </c>
      <c r="B1084" s="24" t="s">
        <v>342</v>
      </c>
      <c r="C1084" s="24" t="s">
        <v>342</v>
      </c>
      <c r="D1084" s="24">
        <v>512903</v>
      </c>
      <c r="E1084" s="24" t="s">
        <v>373</v>
      </c>
      <c r="F1084" s="24">
        <v>9699193686</v>
      </c>
      <c r="G1084" s="24" t="s">
        <v>1409</v>
      </c>
    </row>
    <row r="1085" spans="1:7" ht="15.75" hidden="1" customHeight="1" x14ac:dyDescent="0.25">
      <c r="A1085" s="24" t="s">
        <v>1398</v>
      </c>
      <c r="B1085" s="24" t="s">
        <v>344</v>
      </c>
      <c r="C1085" s="24" t="s">
        <v>345</v>
      </c>
      <c r="D1085" s="24">
        <v>512985</v>
      </c>
      <c r="E1085" s="24" t="s">
        <v>373</v>
      </c>
      <c r="F1085" s="24">
        <v>9699193686</v>
      </c>
      <c r="G1085" s="24" t="s">
        <v>1410</v>
      </c>
    </row>
    <row r="1086" spans="1:7" ht="15.75" hidden="1" customHeight="1" x14ac:dyDescent="0.25">
      <c r="A1086" s="24" t="s">
        <v>1398</v>
      </c>
      <c r="B1086" s="24" t="s">
        <v>434</v>
      </c>
      <c r="C1086" s="24" t="s">
        <v>348</v>
      </c>
      <c r="D1086" s="24">
        <v>512884</v>
      </c>
      <c r="E1086" s="24" t="s">
        <v>373</v>
      </c>
      <c r="F1086" s="24">
        <v>9699193686</v>
      </c>
      <c r="G1086" s="24" t="s">
        <v>1411</v>
      </c>
    </row>
    <row r="1087" spans="1:7" ht="15.75" hidden="1" customHeight="1" x14ac:dyDescent="0.25">
      <c r="A1087" s="24" t="s">
        <v>1398</v>
      </c>
      <c r="B1087" s="24" t="s">
        <v>452</v>
      </c>
      <c r="C1087" s="24" t="s">
        <v>453</v>
      </c>
      <c r="D1087" s="24">
        <v>512916</v>
      </c>
      <c r="E1087" s="24" t="s">
        <v>373</v>
      </c>
      <c r="F1087" s="24">
        <v>9699193686</v>
      </c>
      <c r="G1087" s="24" t="s">
        <v>1412</v>
      </c>
    </row>
    <row r="1088" spans="1:7" ht="15.75" hidden="1" customHeight="1" x14ac:dyDescent="0.25">
      <c r="A1088" s="24" t="s">
        <v>1398</v>
      </c>
      <c r="B1088" s="24" t="s">
        <v>455</v>
      </c>
      <c r="C1088" s="24" t="s">
        <v>453</v>
      </c>
      <c r="D1088" s="24">
        <v>512916</v>
      </c>
      <c r="E1088" s="24" t="s">
        <v>373</v>
      </c>
      <c r="F1088" s="24">
        <v>9699193686</v>
      </c>
      <c r="G1088" s="24" t="s">
        <v>1412</v>
      </c>
    </row>
    <row r="1089" spans="1:7" ht="15.75" hidden="1" customHeight="1" x14ac:dyDescent="0.25">
      <c r="A1089" s="24" t="s">
        <v>1398</v>
      </c>
      <c r="B1089" s="24" t="s">
        <v>350</v>
      </c>
      <c r="C1089" s="24" t="s">
        <v>351</v>
      </c>
      <c r="D1089" s="24">
        <v>512902</v>
      </c>
      <c r="E1089" s="24" t="s">
        <v>373</v>
      </c>
      <c r="F1089" s="24">
        <v>9699193686</v>
      </c>
      <c r="G1089" s="24" t="s">
        <v>1413</v>
      </c>
    </row>
    <row r="1090" spans="1:7" ht="15.75" hidden="1" customHeight="1" x14ac:dyDescent="0.25">
      <c r="A1090" s="24" t="s">
        <v>1398</v>
      </c>
      <c r="B1090" s="24" t="s">
        <v>353</v>
      </c>
      <c r="C1090" s="24" t="s">
        <v>353</v>
      </c>
      <c r="D1090" s="24">
        <v>512885</v>
      </c>
      <c r="E1090" s="24" t="s">
        <v>373</v>
      </c>
      <c r="F1090" s="24">
        <v>9699193686</v>
      </c>
      <c r="G1090" s="24" t="s">
        <v>1414</v>
      </c>
    </row>
    <row r="1091" spans="1:7" ht="15.75" hidden="1" customHeight="1" x14ac:dyDescent="0.25">
      <c r="A1091" s="24" t="s">
        <v>1415</v>
      </c>
      <c r="B1091" s="24" t="s">
        <v>469</v>
      </c>
      <c r="C1091" s="24" t="s">
        <v>470</v>
      </c>
      <c r="D1091" s="24">
        <v>512901</v>
      </c>
      <c r="E1091" s="24" t="s">
        <v>491</v>
      </c>
      <c r="F1091" s="24">
        <v>9699193721</v>
      </c>
      <c r="G1091" s="24" t="s">
        <v>1416</v>
      </c>
    </row>
    <row r="1092" spans="1:7" ht="15.75" hidden="1" customHeight="1" x14ac:dyDescent="0.25">
      <c r="A1092" s="24" t="s">
        <v>1415</v>
      </c>
      <c r="B1092" s="24" t="s">
        <v>459</v>
      </c>
      <c r="C1092" s="24" t="s">
        <v>460</v>
      </c>
      <c r="D1092" s="24">
        <v>512903</v>
      </c>
      <c r="E1092" s="24" t="s">
        <v>491</v>
      </c>
      <c r="F1092" s="24">
        <v>9699193721</v>
      </c>
      <c r="G1092" s="24" t="s">
        <v>1417</v>
      </c>
    </row>
    <row r="1093" spans="1:7" ht="15.75" hidden="1" customHeight="1" x14ac:dyDescent="0.25">
      <c r="A1093" s="24" t="s">
        <v>1415</v>
      </c>
      <c r="B1093" s="24" t="s">
        <v>463</v>
      </c>
      <c r="C1093" s="24" t="s">
        <v>464</v>
      </c>
      <c r="D1093" s="24">
        <v>512903</v>
      </c>
      <c r="E1093" s="24" t="s">
        <v>491</v>
      </c>
      <c r="F1093" s="24">
        <v>9699193721</v>
      </c>
      <c r="G1093" s="24" t="s">
        <v>1418</v>
      </c>
    </row>
    <row r="1094" spans="1:7" ht="15.75" hidden="1" customHeight="1" x14ac:dyDescent="0.25">
      <c r="A1094" s="24" t="s">
        <v>1415</v>
      </c>
      <c r="B1094" s="24" t="s">
        <v>466</v>
      </c>
      <c r="C1094" s="24" t="s">
        <v>467</v>
      </c>
      <c r="D1094" s="24">
        <v>512903</v>
      </c>
      <c r="E1094" s="24" t="s">
        <v>491</v>
      </c>
      <c r="F1094" s="24">
        <v>9699193721</v>
      </c>
      <c r="G1094" s="24" t="s">
        <v>1419</v>
      </c>
    </row>
    <row r="1095" spans="1:7" ht="15.75" hidden="1" customHeight="1" x14ac:dyDescent="0.25">
      <c r="A1095" s="24" t="s">
        <v>1415</v>
      </c>
      <c r="B1095" s="24" t="s">
        <v>480</v>
      </c>
      <c r="C1095" s="24" t="s">
        <v>481</v>
      </c>
      <c r="D1095" s="24">
        <v>512916</v>
      </c>
      <c r="E1095" s="24" t="s">
        <v>491</v>
      </c>
      <c r="F1095" s="24">
        <v>9699193721</v>
      </c>
      <c r="G1095" s="24" t="s">
        <v>1420</v>
      </c>
    </row>
    <row r="1096" spans="1:7" ht="15.75" hidden="1" customHeight="1" x14ac:dyDescent="0.25">
      <c r="A1096" s="24" t="s">
        <v>1415</v>
      </c>
      <c r="B1096" s="24" t="s">
        <v>483</v>
      </c>
      <c r="C1096" s="24" t="s">
        <v>484</v>
      </c>
      <c r="D1096" s="24">
        <v>512915</v>
      </c>
      <c r="E1096" s="24" t="s">
        <v>491</v>
      </c>
      <c r="F1096" s="24">
        <v>9699193721</v>
      </c>
      <c r="G1096" s="24" t="s">
        <v>1421</v>
      </c>
    </row>
    <row r="1097" spans="1:7" ht="15.75" hidden="1" customHeight="1" x14ac:dyDescent="0.25">
      <c r="A1097" s="24" t="s">
        <v>1415</v>
      </c>
      <c r="B1097" s="24" t="s">
        <v>486</v>
      </c>
      <c r="C1097" s="24" t="s">
        <v>484</v>
      </c>
      <c r="D1097" s="24">
        <v>512915</v>
      </c>
      <c r="E1097" s="24" t="s">
        <v>491</v>
      </c>
      <c r="F1097" s="24">
        <v>9699193721</v>
      </c>
      <c r="G1097" s="24" t="s">
        <v>1421</v>
      </c>
    </row>
    <row r="1098" spans="1:7" ht="15.75" hidden="1" customHeight="1" x14ac:dyDescent="0.25">
      <c r="A1098" s="24" t="s">
        <v>1415</v>
      </c>
      <c r="B1098" s="24" t="s">
        <v>487</v>
      </c>
      <c r="C1098" s="24" t="s">
        <v>488</v>
      </c>
      <c r="D1098" s="24">
        <v>512907</v>
      </c>
      <c r="E1098" s="24" t="s">
        <v>491</v>
      </c>
      <c r="F1098" s="24">
        <v>9699193721</v>
      </c>
      <c r="G1098" s="24" t="s">
        <v>1422</v>
      </c>
    </row>
    <row r="1099" spans="1:7" ht="15.75" hidden="1" customHeight="1" x14ac:dyDescent="0.25">
      <c r="A1099" s="24" t="s">
        <v>1415</v>
      </c>
      <c r="B1099" s="24" t="s">
        <v>477</v>
      </c>
      <c r="C1099" s="24" t="s">
        <v>478</v>
      </c>
      <c r="D1099" s="24">
        <v>512901</v>
      </c>
      <c r="E1099" s="24" t="s">
        <v>491</v>
      </c>
      <c r="F1099" s="24">
        <v>9699193721</v>
      </c>
      <c r="G1099" s="24" t="s">
        <v>1423</v>
      </c>
    </row>
    <row r="1100" spans="1:7" ht="15.75" hidden="1" customHeight="1" x14ac:dyDescent="0.25">
      <c r="A1100" s="24" t="s">
        <v>1415</v>
      </c>
      <c r="B1100" s="24" t="s">
        <v>472</v>
      </c>
      <c r="C1100" s="24" t="s">
        <v>473</v>
      </c>
      <c r="D1100" s="24">
        <v>512985</v>
      </c>
      <c r="E1100" s="24" t="s">
        <v>491</v>
      </c>
      <c r="F1100" s="24">
        <v>9699193721</v>
      </c>
      <c r="G1100" s="24" t="s">
        <v>1424</v>
      </c>
    </row>
    <row r="1101" spans="1:7" ht="15.75" hidden="1" customHeight="1" x14ac:dyDescent="0.25">
      <c r="A1101" s="24" t="s">
        <v>1415</v>
      </c>
      <c r="B1101" s="24" t="s">
        <v>322</v>
      </c>
      <c r="C1101" s="24" t="s">
        <v>322</v>
      </c>
      <c r="D1101" s="24">
        <v>611129</v>
      </c>
      <c r="E1101" s="24" t="s">
        <v>552</v>
      </c>
      <c r="F1101" s="24">
        <v>9699193721</v>
      </c>
      <c r="G1101" s="24" t="s">
        <v>1425</v>
      </c>
    </row>
    <row r="1102" spans="1:7" ht="15.75" hidden="1" customHeight="1" x14ac:dyDescent="0.25">
      <c r="A1102" s="24" t="s">
        <v>1426</v>
      </c>
      <c r="B1102" s="24" t="s">
        <v>459</v>
      </c>
      <c r="C1102" s="24" t="s">
        <v>460</v>
      </c>
      <c r="D1102" s="24">
        <v>512903</v>
      </c>
      <c r="E1102" s="24" t="s">
        <v>1427</v>
      </c>
      <c r="F1102" s="24">
        <v>9699193721</v>
      </c>
      <c r="G1102" s="24" t="s">
        <v>462</v>
      </c>
    </row>
    <row r="1103" spans="1:7" ht="15.75" hidden="1" customHeight="1" x14ac:dyDescent="0.25">
      <c r="A1103" s="24" t="s">
        <v>1426</v>
      </c>
      <c r="B1103" s="24" t="s">
        <v>463</v>
      </c>
      <c r="C1103" s="24" t="s">
        <v>464</v>
      </c>
      <c r="D1103" s="24">
        <v>512903</v>
      </c>
      <c r="E1103" s="24" t="s">
        <v>1427</v>
      </c>
      <c r="F1103" s="24">
        <v>9699193721</v>
      </c>
      <c r="G1103" s="24" t="s">
        <v>465</v>
      </c>
    </row>
    <row r="1104" spans="1:7" ht="15.75" hidden="1" customHeight="1" x14ac:dyDescent="0.25">
      <c r="A1104" s="24" t="s">
        <v>1426</v>
      </c>
      <c r="B1104" s="24" t="s">
        <v>466</v>
      </c>
      <c r="C1104" s="24" t="s">
        <v>467</v>
      </c>
      <c r="D1104" s="24">
        <v>512903</v>
      </c>
      <c r="E1104" s="24" t="s">
        <v>1427</v>
      </c>
      <c r="F1104" s="24">
        <v>9699193721</v>
      </c>
      <c r="G1104" s="24" t="s">
        <v>468</v>
      </c>
    </row>
    <row r="1105" spans="1:7" ht="15.75" hidden="1" customHeight="1" x14ac:dyDescent="0.25">
      <c r="A1105" s="24" t="s">
        <v>1426</v>
      </c>
      <c r="B1105" s="24" t="s">
        <v>469</v>
      </c>
      <c r="C1105" s="24" t="s">
        <v>470</v>
      </c>
      <c r="D1105" s="24">
        <v>512901</v>
      </c>
      <c r="E1105" s="24" t="s">
        <v>1427</v>
      </c>
      <c r="F1105" s="24">
        <v>9699193721</v>
      </c>
      <c r="G1105" s="24" t="s">
        <v>471</v>
      </c>
    </row>
    <row r="1106" spans="1:7" ht="15.75" hidden="1" customHeight="1" x14ac:dyDescent="0.25">
      <c r="A1106" s="24" t="s">
        <v>1426</v>
      </c>
      <c r="B1106" s="24" t="s">
        <v>472</v>
      </c>
      <c r="C1106" s="24" t="s">
        <v>473</v>
      </c>
      <c r="D1106" s="24">
        <v>512985</v>
      </c>
      <c r="E1106" s="24" t="s">
        <v>1427</v>
      </c>
      <c r="F1106" s="24">
        <v>9699193721</v>
      </c>
      <c r="G1106" s="24" t="s">
        <v>474</v>
      </c>
    </row>
    <row r="1107" spans="1:7" ht="15.75" hidden="1" customHeight="1" x14ac:dyDescent="0.25">
      <c r="A1107" s="24" t="s">
        <v>1426</v>
      </c>
      <c r="B1107" s="24" t="s">
        <v>475</v>
      </c>
      <c r="C1107" s="24" t="s">
        <v>475</v>
      </c>
      <c r="D1107" s="24">
        <v>512883</v>
      </c>
      <c r="E1107" s="24" t="s">
        <v>1427</v>
      </c>
      <c r="F1107" s="24">
        <v>9699193721</v>
      </c>
      <c r="G1107" s="24" t="s">
        <v>476</v>
      </c>
    </row>
    <row r="1108" spans="1:7" ht="15.75" hidden="1" customHeight="1" x14ac:dyDescent="0.25">
      <c r="A1108" s="24" t="s">
        <v>1426</v>
      </c>
      <c r="B1108" s="24" t="s">
        <v>477</v>
      </c>
      <c r="C1108" s="24" t="s">
        <v>478</v>
      </c>
      <c r="D1108" s="24">
        <v>512901</v>
      </c>
      <c r="E1108" s="24" t="s">
        <v>1427</v>
      </c>
      <c r="F1108" s="24">
        <v>9699193721</v>
      </c>
      <c r="G1108" s="24" t="s">
        <v>479</v>
      </c>
    </row>
    <row r="1109" spans="1:7" ht="15.75" hidden="1" customHeight="1" x14ac:dyDescent="0.25">
      <c r="A1109" s="24" t="s">
        <v>1426</v>
      </c>
      <c r="B1109" s="24" t="s">
        <v>480</v>
      </c>
      <c r="C1109" s="24" t="s">
        <v>481</v>
      </c>
      <c r="D1109" s="24">
        <v>512916</v>
      </c>
      <c r="E1109" s="24" t="s">
        <v>1427</v>
      </c>
      <c r="F1109" s="24">
        <v>9699193721</v>
      </c>
      <c r="G1109" s="24" t="s">
        <v>482</v>
      </c>
    </row>
    <row r="1110" spans="1:7" ht="15.75" hidden="1" customHeight="1" x14ac:dyDescent="0.25">
      <c r="A1110" s="24" t="s">
        <v>1426</v>
      </c>
      <c r="B1110" s="24" t="s">
        <v>483</v>
      </c>
      <c r="C1110" s="24" t="s">
        <v>484</v>
      </c>
      <c r="D1110" s="24">
        <v>512915</v>
      </c>
      <c r="E1110" s="24" t="s">
        <v>1427</v>
      </c>
      <c r="F1110" s="24">
        <v>9699193721</v>
      </c>
      <c r="G1110" s="24" t="s">
        <v>485</v>
      </c>
    </row>
    <row r="1111" spans="1:7" ht="15.75" hidden="1" customHeight="1" x14ac:dyDescent="0.25">
      <c r="A1111" s="24" t="s">
        <v>1426</v>
      </c>
      <c r="B1111" s="24" t="s">
        <v>486</v>
      </c>
      <c r="C1111" s="24" t="s">
        <v>484</v>
      </c>
      <c r="D1111" s="24">
        <v>512915</v>
      </c>
      <c r="E1111" s="24" t="s">
        <v>1427</v>
      </c>
      <c r="F1111" s="24">
        <v>9699193721</v>
      </c>
      <c r="G1111" s="24" t="s">
        <v>485</v>
      </c>
    </row>
    <row r="1112" spans="1:7" ht="15.75" hidden="1" customHeight="1" x14ac:dyDescent="0.25">
      <c r="A1112" s="24" t="s">
        <v>1426</v>
      </c>
      <c r="B1112" s="24" t="s">
        <v>487</v>
      </c>
      <c r="C1112" s="24" t="s">
        <v>488</v>
      </c>
      <c r="D1112" s="24">
        <v>512907</v>
      </c>
      <c r="E1112" s="24" t="s">
        <v>1427</v>
      </c>
      <c r="F1112" s="24">
        <v>9699193721</v>
      </c>
      <c r="G1112" s="24" t="s">
        <v>489</v>
      </c>
    </row>
    <row r="1113" spans="1:7" ht="15.75" hidden="1" customHeight="1" x14ac:dyDescent="0.25">
      <c r="A1113" s="24" t="s">
        <v>1428</v>
      </c>
      <c r="B1113" s="24" t="s">
        <v>313</v>
      </c>
      <c r="C1113" s="24" t="s">
        <v>314</v>
      </c>
      <c r="D1113" s="24">
        <v>612105</v>
      </c>
      <c r="E1113" s="24" t="s">
        <v>373</v>
      </c>
      <c r="F1113" s="24">
        <v>9699193686</v>
      </c>
      <c r="G1113" s="24" t="s">
        <v>1429</v>
      </c>
    </row>
    <row r="1114" spans="1:7" ht="15.75" hidden="1" customHeight="1" x14ac:dyDescent="0.25">
      <c r="A1114" s="24" t="s">
        <v>1428</v>
      </c>
      <c r="B1114" s="24" t="s">
        <v>317</v>
      </c>
      <c r="C1114" s="24" t="s">
        <v>318</v>
      </c>
      <c r="D1114" s="24">
        <v>612105</v>
      </c>
      <c r="E1114" s="24" t="s">
        <v>373</v>
      </c>
      <c r="F1114" s="24">
        <v>9699193686</v>
      </c>
      <c r="G1114" s="24" t="s">
        <v>1430</v>
      </c>
    </row>
    <row r="1115" spans="1:7" ht="15.75" hidden="1" customHeight="1" x14ac:dyDescent="0.25">
      <c r="A1115" s="24" t="s">
        <v>1428</v>
      </c>
      <c r="B1115" s="24" t="s">
        <v>320</v>
      </c>
      <c r="C1115" s="24" t="s">
        <v>320</v>
      </c>
      <c r="D1115" s="24">
        <v>611128</v>
      </c>
      <c r="E1115" s="24" t="s">
        <v>373</v>
      </c>
      <c r="F1115" s="24">
        <v>9699193686</v>
      </c>
      <c r="G1115" s="24" t="s">
        <v>1431</v>
      </c>
    </row>
    <row r="1116" spans="1:7" ht="15.75" hidden="1" customHeight="1" x14ac:dyDescent="0.25">
      <c r="A1116" s="24" t="s">
        <v>1428</v>
      </c>
      <c r="B1116" s="24" t="s">
        <v>322</v>
      </c>
      <c r="C1116" s="24" t="s">
        <v>322</v>
      </c>
      <c r="D1116" s="24">
        <v>611129</v>
      </c>
      <c r="E1116" s="24" t="s">
        <v>373</v>
      </c>
      <c r="F1116" s="24">
        <v>9699193686</v>
      </c>
      <c r="G1116" s="24" t="s">
        <v>1432</v>
      </c>
    </row>
    <row r="1117" spans="1:7" ht="15.75" hidden="1" customHeight="1" x14ac:dyDescent="0.25">
      <c r="A1117" s="24" t="s">
        <v>1428</v>
      </c>
      <c r="B1117" s="24" t="s">
        <v>324</v>
      </c>
      <c r="C1117" s="24" t="s">
        <v>324</v>
      </c>
      <c r="D1117" s="24">
        <v>512904</v>
      </c>
      <c r="E1117" s="24" t="s">
        <v>373</v>
      </c>
      <c r="F1117" s="24">
        <v>9699193686</v>
      </c>
      <c r="G1117" s="24" t="s">
        <v>1433</v>
      </c>
    </row>
    <row r="1118" spans="1:7" ht="15.75" hidden="1" customHeight="1" x14ac:dyDescent="0.25">
      <c r="A1118" s="24" t="s">
        <v>1428</v>
      </c>
      <c r="B1118" s="24" t="s">
        <v>332</v>
      </c>
      <c r="C1118" s="24" t="s">
        <v>330</v>
      </c>
      <c r="D1118" s="24">
        <v>611129</v>
      </c>
      <c r="E1118" s="24" t="s">
        <v>373</v>
      </c>
      <c r="F1118" s="24">
        <v>9699193686</v>
      </c>
      <c r="G1118" s="24" t="s">
        <v>1434</v>
      </c>
    </row>
    <row r="1119" spans="1:7" ht="15.75" hidden="1" customHeight="1" x14ac:dyDescent="0.25">
      <c r="A1119" s="24" t="s">
        <v>1428</v>
      </c>
      <c r="B1119" s="24" t="s">
        <v>333</v>
      </c>
      <c r="C1119" s="24" t="s">
        <v>334</v>
      </c>
      <c r="D1119" s="24">
        <v>612106</v>
      </c>
      <c r="E1119" s="24" t="s">
        <v>373</v>
      </c>
      <c r="F1119" s="24">
        <v>9699193686</v>
      </c>
      <c r="G1119" s="24" t="s">
        <v>1435</v>
      </c>
    </row>
    <row r="1120" spans="1:7" ht="15.75" hidden="1" customHeight="1" x14ac:dyDescent="0.25">
      <c r="A1120" s="24" t="s">
        <v>1428</v>
      </c>
      <c r="B1120" s="24" t="s">
        <v>336</v>
      </c>
      <c r="C1120" s="24" t="s">
        <v>336</v>
      </c>
      <c r="D1120" s="24">
        <v>512883</v>
      </c>
      <c r="E1120" s="24" t="s">
        <v>373</v>
      </c>
      <c r="F1120" s="24">
        <v>9699193686</v>
      </c>
      <c r="G1120" s="24" t="s">
        <v>1436</v>
      </c>
    </row>
    <row r="1121" spans="1:7" ht="15.75" hidden="1" customHeight="1" x14ac:dyDescent="0.25">
      <c r="A1121" s="24" t="s">
        <v>1428</v>
      </c>
      <c r="B1121" s="24" t="s">
        <v>338</v>
      </c>
      <c r="C1121" s="24" t="s">
        <v>338</v>
      </c>
      <c r="D1121" s="24">
        <v>512908</v>
      </c>
      <c r="E1121" s="24" t="s">
        <v>373</v>
      </c>
      <c r="F1121" s="24">
        <v>9699193686</v>
      </c>
      <c r="G1121" s="24" t="s">
        <v>1437</v>
      </c>
    </row>
    <row r="1122" spans="1:7" ht="15.75" hidden="1" customHeight="1" x14ac:dyDescent="0.25">
      <c r="A1122" s="24" t="s">
        <v>1428</v>
      </c>
      <c r="B1122" s="24" t="s">
        <v>340</v>
      </c>
      <c r="C1122" s="24" t="s">
        <v>340</v>
      </c>
      <c r="D1122" s="24">
        <v>512903</v>
      </c>
      <c r="E1122" s="24" t="s">
        <v>373</v>
      </c>
      <c r="F1122" s="24">
        <v>9699193686</v>
      </c>
      <c r="G1122" s="24" t="s">
        <v>1438</v>
      </c>
    </row>
    <row r="1123" spans="1:7" ht="15.75" hidden="1" customHeight="1" x14ac:dyDescent="0.25">
      <c r="A1123" s="24" t="s">
        <v>1428</v>
      </c>
      <c r="B1123" s="24" t="s">
        <v>342</v>
      </c>
      <c r="C1123" s="24" t="s">
        <v>342</v>
      </c>
      <c r="D1123" s="24">
        <v>512903</v>
      </c>
      <c r="E1123" s="24" t="s">
        <v>373</v>
      </c>
      <c r="F1123" s="24">
        <v>9699193686</v>
      </c>
      <c r="G1123" s="24" t="s">
        <v>1439</v>
      </c>
    </row>
    <row r="1124" spans="1:7" ht="15.75" hidden="1" customHeight="1" x14ac:dyDescent="0.25">
      <c r="A1124" s="24" t="s">
        <v>1428</v>
      </c>
      <c r="B1124" s="24" t="s">
        <v>344</v>
      </c>
      <c r="C1124" s="24" t="s">
        <v>345</v>
      </c>
      <c r="D1124" s="24">
        <v>512985</v>
      </c>
      <c r="E1124" s="24" t="s">
        <v>373</v>
      </c>
      <c r="F1124" s="24">
        <v>9699193686</v>
      </c>
      <c r="G1124" s="24" t="s">
        <v>1440</v>
      </c>
    </row>
    <row r="1125" spans="1:7" ht="15.75" hidden="1" customHeight="1" x14ac:dyDescent="0.25">
      <c r="A1125" s="24" t="s">
        <v>1428</v>
      </c>
      <c r="B1125" s="24" t="s">
        <v>347</v>
      </c>
      <c r="C1125" s="24" t="s">
        <v>348</v>
      </c>
      <c r="D1125" s="24">
        <v>512884</v>
      </c>
      <c r="E1125" s="24" t="s">
        <v>373</v>
      </c>
      <c r="F1125" s="24">
        <v>9699193686</v>
      </c>
      <c r="G1125" s="24" t="s">
        <v>1441</v>
      </c>
    </row>
    <row r="1126" spans="1:7" ht="15.75" hidden="1" customHeight="1" x14ac:dyDescent="0.25">
      <c r="A1126" s="24" t="s">
        <v>1428</v>
      </c>
      <c r="B1126" s="24" t="s">
        <v>350</v>
      </c>
      <c r="C1126" s="24" t="s">
        <v>351</v>
      </c>
      <c r="D1126" s="24">
        <v>512902</v>
      </c>
      <c r="E1126" s="24" t="s">
        <v>373</v>
      </c>
      <c r="F1126" s="24">
        <v>9699193686</v>
      </c>
      <c r="G1126" s="24" t="s">
        <v>1442</v>
      </c>
    </row>
    <row r="1127" spans="1:7" ht="15.75" hidden="1" customHeight="1" x14ac:dyDescent="0.25">
      <c r="A1127" s="24" t="s">
        <v>1428</v>
      </c>
      <c r="B1127" s="24" t="s">
        <v>353</v>
      </c>
      <c r="C1127" s="24" t="s">
        <v>353</v>
      </c>
      <c r="D1127" s="24">
        <v>512885</v>
      </c>
      <c r="E1127" s="24" t="s">
        <v>373</v>
      </c>
      <c r="F1127" s="24">
        <v>9699193686</v>
      </c>
      <c r="G1127" s="24" t="s">
        <v>1443</v>
      </c>
    </row>
    <row r="1128" spans="1:7" ht="15.75" hidden="1" customHeight="1" x14ac:dyDescent="0.25">
      <c r="A1128" s="24" t="s">
        <v>1428</v>
      </c>
      <c r="B1128" s="24" t="s">
        <v>851</v>
      </c>
      <c r="C1128" s="24" t="s">
        <v>852</v>
      </c>
      <c r="D1128" s="24">
        <v>612105</v>
      </c>
      <c r="E1128" s="24" t="s">
        <v>373</v>
      </c>
      <c r="F1128" s="24">
        <v>9699193686</v>
      </c>
      <c r="G1128" s="24" t="s">
        <v>1241</v>
      </c>
    </row>
    <row r="1129" spans="1:7" ht="15.75" hidden="1" customHeight="1" x14ac:dyDescent="0.25">
      <c r="A1129" s="24" t="s">
        <v>1428</v>
      </c>
      <c r="B1129" s="24" t="s">
        <v>862</v>
      </c>
      <c r="C1129" s="24" t="s">
        <v>863</v>
      </c>
      <c r="D1129" s="24">
        <v>612105</v>
      </c>
      <c r="E1129" s="24" t="s">
        <v>373</v>
      </c>
      <c r="F1129" s="24">
        <v>9699193686</v>
      </c>
      <c r="G1129" s="24" t="s">
        <v>1242</v>
      </c>
    </row>
    <row r="1130" spans="1:7" ht="15.75" hidden="1" customHeight="1" x14ac:dyDescent="0.25">
      <c r="A1130" s="24" t="s">
        <v>1428</v>
      </c>
      <c r="B1130" s="24" t="s">
        <v>946</v>
      </c>
      <c r="C1130" s="24" t="s">
        <v>453</v>
      </c>
      <c r="D1130" s="24">
        <v>512916</v>
      </c>
      <c r="E1130" s="24" t="s">
        <v>373</v>
      </c>
      <c r="F1130" s="24">
        <v>9699193686</v>
      </c>
      <c r="G1130" s="24" t="s">
        <v>1243</v>
      </c>
    </row>
    <row r="1131" spans="1:7" ht="15.75" hidden="1" customHeight="1" x14ac:dyDescent="0.25">
      <c r="A1131" s="24" t="s">
        <v>1428</v>
      </c>
      <c r="B1131" s="24" t="s">
        <v>822</v>
      </c>
      <c r="C1131" s="24" t="s">
        <v>823</v>
      </c>
      <c r="D1131" s="24">
        <v>612105</v>
      </c>
      <c r="E1131" s="24" t="s">
        <v>373</v>
      </c>
      <c r="F1131" s="24">
        <v>9699193686</v>
      </c>
      <c r="G1131" s="24" t="s">
        <v>1444</v>
      </c>
    </row>
    <row r="1132" spans="1:7" ht="15.75" hidden="1" customHeight="1" x14ac:dyDescent="0.25">
      <c r="A1132" s="24" t="s">
        <v>1428</v>
      </c>
      <c r="B1132" s="24" t="s">
        <v>949</v>
      </c>
      <c r="C1132" s="24" t="s">
        <v>823</v>
      </c>
      <c r="D1132" s="24">
        <v>612105</v>
      </c>
      <c r="E1132" s="24" t="s">
        <v>373</v>
      </c>
      <c r="F1132" s="24">
        <v>9699193686</v>
      </c>
      <c r="G1132" s="24" t="s">
        <v>1444</v>
      </c>
    </row>
    <row r="1133" spans="1:7" ht="15.75" hidden="1" customHeight="1" x14ac:dyDescent="0.25">
      <c r="A1133" s="24" t="s">
        <v>1428</v>
      </c>
      <c r="B1133" s="24" t="s">
        <v>1153</v>
      </c>
      <c r="C1133" s="24" t="s">
        <v>852</v>
      </c>
      <c r="D1133" s="24">
        <v>612105</v>
      </c>
      <c r="E1133" s="24" t="s">
        <v>373</v>
      </c>
      <c r="F1133" s="24">
        <v>9699193686</v>
      </c>
      <c r="G1133" s="24" t="s">
        <v>1241</v>
      </c>
    </row>
    <row r="1134" spans="1:7" ht="15" hidden="1" customHeight="1" x14ac:dyDescent="0.25">
      <c r="A1134" s="24" t="s">
        <v>1571</v>
      </c>
      <c r="B1134" s="24" t="s">
        <v>313</v>
      </c>
      <c r="C1134" s="24" t="s">
        <v>314</v>
      </c>
      <c r="D1134" s="24">
        <v>612105</v>
      </c>
      <c r="E1134" s="24" t="s">
        <v>373</v>
      </c>
      <c r="F1134" s="24">
        <v>9699193686</v>
      </c>
      <c r="G1134" s="24" t="s">
        <v>1572</v>
      </c>
    </row>
    <row r="1135" spans="1:7" ht="15" hidden="1" customHeight="1" x14ac:dyDescent="0.25">
      <c r="A1135" s="24" t="s">
        <v>1571</v>
      </c>
      <c r="B1135" s="24" t="s">
        <v>317</v>
      </c>
      <c r="C1135" s="24" t="s">
        <v>318</v>
      </c>
      <c r="D1135" s="24">
        <v>612105</v>
      </c>
      <c r="E1135" s="24" t="s">
        <v>373</v>
      </c>
      <c r="F1135" s="24">
        <v>9699193686</v>
      </c>
      <c r="G1135" s="24" t="s">
        <v>1573</v>
      </c>
    </row>
    <row r="1136" spans="1:7" ht="15" hidden="1" customHeight="1" x14ac:dyDescent="0.25">
      <c r="A1136" s="24" t="s">
        <v>1571</v>
      </c>
      <c r="B1136" s="24" t="s">
        <v>320</v>
      </c>
      <c r="C1136" s="24" t="s">
        <v>320</v>
      </c>
      <c r="D1136" s="24">
        <v>611128</v>
      </c>
      <c r="E1136" s="24" t="s">
        <v>373</v>
      </c>
      <c r="F1136" s="24">
        <v>9699193686</v>
      </c>
      <c r="G1136" s="24" t="s">
        <v>1574</v>
      </c>
    </row>
    <row r="1137" spans="1:7" ht="15" hidden="1" customHeight="1" x14ac:dyDescent="0.25">
      <c r="A1137" s="24" t="s">
        <v>1571</v>
      </c>
      <c r="B1137" s="24" t="s">
        <v>322</v>
      </c>
      <c r="C1137" s="24" t="s">
        <v>322</v>
      </c>
      <c r="D1137" s="24">
        <v>611129</v>
      </c>
      <c r="E1137" s="24" t="s">
        <v>373</v>
      </c>
      <c r="F1137" s="24">
        <v>9699193686</v>
      </c>
      <c r="G1137" s="24" t="s">
        <v>1575</v>
      </c>
    </row>
    <row r="1138" spans="1:7" ht="15" hidden="1" customHeight="1" x14ac:dyDescent="0.25">
      <c r="A1138" s="24" t="s">
        <v>1571</v>
      </c>
      <c r="B1138" s="24" t="s">
        <v>324</v>
      </c>
      <c r="C1138" s="24" t="s">
        <v>324</v>
      </c>
      <c r="D1138" s="24">
        <v>512904</v>
      </c>
      <c r="E1138" s="24" t="s">
        <v>373</v>
      </c>
      <c r="F1138" s="24">
        <v>9699193686</v>
      </c>
      <c r="G1138" s="24" t="s">
        <v>1576</v>
      </c>
    </row>
    <row r="1139" spans="1:7" ht="15" hidden="1" customHeight="1" x14ac:dyDescent="0.25">
      <c r="A1139" s="24" t="s">
        <v>1571</v>
      </c>
      <c r="B1139" s="24" t="s">
        <v>332</v>
      </c>
      <c r="C1139" s="24" t="s">
        <v>330</v>
      </c>
      <c r="D1139" s="24">
        <v>611129</v>
      </c>
      <c r="E1139" s="24" t="s">
        <v>373</v>
      </c>
      <c r="F1139" s="24">
        <v>9699193686</v>
      </c>
      <c r="G1139" s="24" t="s">
        <v>1577</v>
      </c>
    </row>
    <row r="1140" spans="1:7" ht="15" hidden="1" customHeight="1" x14ac:dyDescent="0.25">
      <c r="A1140" s="24" t="s">
        <v>1571</v>
      </c>
      <c r="B1140" s="24" t="s">
        <v>333</v>
      </c>
      <c r="C1140" s="24" t="s">
        <v>334</v>
      </c>
      <c r="D1140" s="24">
        <v>612106</v>
      </c>
      <c r="E1140" s="24" t="s">
        <v>373</v>
      </c>
      <c r="F1140" s="24">
        <v>9699193686</v>
      </c>
      <c r="G1140" s="24" t="s">
        <v>1578</v>
      </c>
    </row>
    <row r="1141" spans="1:7" ht="15" hidden="1" customHeight="1" x14ac:dyDescent="0.25">
      <c r="A1141" s="24" t="s">
        <v>1571</v>
      </c>
      <c r="B1141" s="24" t="s">
        <v>336</v>
      </c>
      <c r="C1141" s="24" t="s">
        <v>336</v>
      </c>
      <c r="D1141" s="24">
        <v>512883</v>
      </c>
      <c r="E1141" s="24" t="s">
        <v>373</v>
      </c>
      <c r="F1141" s="24">
        <v>9699193686</v>
      </c>
      <c r="G1141" s="24" t="s">
        <v>1579</v>
      </c>
    </row>
    <row r="1142" spans="1:7" ht="15" hidden="1" customHeight="1" x14ac:dyDescent="0.25">
      <c r="A1142" s="24" t="s">
        <v>1571</v>
      </c>
      <c r="B1142" s="24" t="s">
        <v>338</v>
      </c>
      <c r="C1142" s="24" t="s">
        <v>338</v>
      </c>
      <c r="D1142" s="24">
        <v>512908</v>
      </c>
      <c r="E1142" s="24" t="s">
        <v>373</v>
      </c>
      <c r="F1142" s="24">
        <v>9699193686</v>
      </c>
      <c r="G1142" s="24" t="s">
        <v>1580</v>
      </c>
    </row>
    <row r="1143" spans="1:7" ht="15" hidden="1" customHeight="1" x14ac:dyDescent="0.25">
      <c r="A1143" s="24" t="s">
        <v>1571</v>
      </c>
      <c r="B1143" s="24" t="s">
        <v>340</v>
      </c>
      <c r="C1143" s="24" t="s">
        <v>340</v>
      </c>
      <c r="D1143" s="24">
        <v>512903</v>
      </c>
      <c r="E1143" s="24" t="s">
        <v>373</v>
      </c>
      <c r="F1143" s="24">
        <v>9699193686</v>
      </c>
      <c r="G1143" s="24" t="s">
        <v>1581</v>
      </c>
    </row>
    <row r="1144" spans="1:7" ht="15" hidden="1" customHeight="1" x14ac:dyDescent="0.25">
      <c r="A1144" s="24" t="s">
        <v>1571</v>
      </c>
      <c r="B1144" s="24" t="s">
        <v>342</v>
      </c>
      <c r="C1144" s="24" t="s">
        <v>342</v>
      </c>
      <c r="D1144" s="24">
        <v>512903</v>
      </c>
      <c r="E1144" s="24" t="s">
        <v>373</v>
      </c>
      <c r="F1144" s="24">
        <v>9699193686</v>
      </c>
      <c r="G1144" s="24" t="s">
        <v>1582</v>
      </c>
    </row>
    <row r="1145" spans="1:7" ht="15" hidden="1" customHeight="1" x14ac:dyDescent="0.25">
      <c r="A1145" s="24" t="s">
        <v>1571</v>
      </c>
      <c r="B1145" s="24" t="s">
        <v>344</v>
      </c>
      <c r="C1145" s="24" t="s">
        <v>345</v>
      </c>
      <c r="D1145" s="24">
        <v>512985</v>
      </c>
      <c r="E1145" s="24" t="s">
        <v>373</v>
      </c>
      <c r="F1145" s="24">
        <v>9699193686</v>
      </c>
      <c r="G1145" s="24" t="s">
        <v>1583</v>
      </c>
    </row>
    <row r="1146" spans="1:7" ht="15" hidden="1" customHeight="1" x14ac:dyDescent="0.25">
      <c r="A1146" s="24" t="s">
        <v>1571</v>
      </c>
      <c r="B1146" s="24" t="s">
        <v>434</v>
      </c>
      <c r="C1146" s="24" t="s">
        <v>348</v>
      </c>
      <c r="D1146" s="24">
        <v>512884</v>
      </c>
      <c r="E1146" s="24" t="s">
        <v>373</v>
      </c>
      <c r="F1146" s="24">
        <v>9699193686</v>
      </c>
      <c r="G1146" s="24" t="s">
        <v>1584</v>
      </c>
    </row>
    <row r="1147" spans="1:7" ht="15" hidden="1" customHeight="1" x14ac:dyDescent="0.25">
      <c r="A1147" s="24" t="s">
        <v>1571</v>
      </c>
      <c r="B1147" s="24" t="s">
        <v>452</v>
      </c>
      <c r="C1147" s="24" t="s">
        <v>453</v>
      </c>
      <c r="D1147" s="24">
        <v>512916</v>
      </c>
      <c r="E1147" s="24" t="s">
        <v>373</v>
      </c>
      <c r="F1147" s="24">
        <v>9699193686</v>
      </c>
      <c r="G1147" s="24" t="s">
        <v>1585</v>
      </c>
    </row>
    <row r="1148" spans="1:7" ht="15" hidden="1" customHeight="1" x14ac:dyDescent="0.25">
      <c r="A1148" s="24" t="s">
        <v>1571</v>
      </c>
      <c r="B1148" s="24" t="s">
        <v>455</v>
      </c>
      <c r="C1148" s="24" t="s">
        <v>453</v>
      </c>
      <c r="D1148" s="24">
        <v>512916</v>
      </c>
      <c r="E1148" s="24" t="s">
        <v>373</v>
      </c>
      <c r="F1148" s="24">
        <v>9699193686</v>
      </c>
      <c r="G1148" s="24" t="s">
        <v>1585</v>
      </c>
    </row>
    <row r="1149" spans="1:7" ht="15" hidden="1" customHeight="1" x14ac:dyDescent="0.25">
      <c r="A1149" s="24" t="s">
        <v>1571</v>
      </c>
      <c r="B1149" s="24" t="s">
        <v>350</v>
      </c>
      <c r="C1149" s="24" t="s">
        <v>351</v>
      </c>
      <c r="D1149" s="24">
        <v>512902</v>
      </c>
      <c r="E1149" s="24" t="s">
        <v>373</v>
      </c>
      <c r="F1149" s="24">
        <v>9699193686</v>
      </c>
      <c r="G1149" s="24" t="s">
        <v>1586</v>
      </c>
    </row>
    <row r="1150" spans="1:7" ht="15" hidden="1" customHeight="1" x14ac:dyDescent="0.25">
      <c r="A1150" s="24" t="s">
        <v>1571</v>
      </c>
      <c r="B1150" s="24" t="s">
        <v>353</v>
      </c>
      <c r="C1150" s="24" t="s">
        <v>353</v>
      </c>
      <c r="D1150" s="24">
        <v>512885</v>
      </c>
      <c r="E1150" s="24" t="s">
        <v>373</v>
      </c>
      <c r="F1150" s="24">
        <v>9699193686</v>
      </c>
      <c r="G1150" s="24" t="s">
        <v>1587</v>
      </c>
    </row>
    <row r="1151" spans="1:7" ht="15" customHeight="1" x14ac:dyDescent="0.25">
      <c r="A1151" s="25" t="s">
        <v>1592</v>
      </c>
      <c r="B1151" s="25" t="s">
        <v>469</v>
      </c>
      <c r="C1151" s="25" t="s">
        <v>470</v>
      </c>
      <c r="D1151" s="25">
        <v>512901</v>
      </c>
      <c r="E1151" s="25" t="s">
        <v>522</v>
      </c>
      <c r="F1151" s="25">
        <v>9699193721</v>
      </c>
      <c r="G1151" s="24" t="s">
        <v>1593</v>
      </c>
    </row>
    <row r="1152" spans="1:7" ht="15" customHeight="1" x14ac:dyDescent="0.25">
      <c r="A1152" s="25" t="s">
        <v>1592</v>
      </c>
      <c r="B1152" s="24" t="s">
        <v>480</v>
      </c>
      <c r="C1152" s="24" t="s">
        <v>481</v>
      </c>
      <c r="D1152" s="24">
        <v>512916</v>
      </c>
      <c r="E1152" s="25" t="s">
        <v>522</v>
      </c>
      <c r="F1152" s="25">
        <v>9699193721</v>
      </c>
      <c r="G1152" s="24" t="s">
        <v>1594</v>
      </c>
    </row>
    <row r="1153" spans="1:7" ht="15" customHeight="1" x14ac:dyDescent="0.25">
      <c r="A1153" s="24" t="s">
        <v>1592</v>
      </c>
      <c r="B1153" s="24" t="s">
        <v>483</v>
      </c>
      <c r="C1153" s="24" t="s">
        <v>484</v>
      </c>
      <c r="D1153" s="24">
        <v>512915</v>
      </c>
      <c r="E1153" s="24" t="s">
        <v>522</v>
      </c>
      <c r="F1153" s="24">
        <v>9699193721</v>
      </c>
      <c r="G1153" s="24" t="s">
        <v>1595</v>
      </c>
    </row>
    <row r="1154" spans="1:7" ht="15" customHeight="1" x14ac:dyDescent="0.25">
      <c r="A1154" s="25" t="s">
        <v>1592</v>
      </c>
      <c r="B1154" s="24" t="s">
        <v>486</v>
      </c>
      <c r="C1154" s="24" t="s">
        <v>484</v>
      </c>
      <c r="D1154" s="24">
        <v>512915</v>
      </c>
      <c r="E1154" s="25" t="s">
        <v>522</v>
      </c>
      <c r="F1154" s="25">
        <v>9699193721</v>
      </c>
      <c r="G1154" s="24" t="s">
        <v>1595</v>
      </c>
    </row>
    <row r="1155" spans="1:7" ht="15" customHeight="1" x14ac:dyDescent="0.25">
      <c r="A1155" s="25" t="s">
        <v>1592</v>
      </c>
      <c r="B1155" s="24" t="s">
        <v>487</v>
      </c>
      <c r="C1155" s="24" t="s">
        <v>488</v>
      </c>
      <c r="D1155" s="24">
        <v>512907</v>
      </c>
      <c r="E1155" s="25" t="s">
        <v>522</v>
      </c>
      <c r="F1155" s="25">
        <v>9699193721</v>
      </c>
      <c r="G1155" s="24" t="s">
        <v>1596</v>
      </c>
    </row>
    <row r="1156" spans="1:7" ht="15" customHeight="1" x14ac:dyDescent="0.25">
      <c r="A1156" s="24" t="s">
        <v>1592</v>
      </c>
      <c r="B1156" s="24" t="s">
        <v>472</v>
      </c>
      <c r="C1156" s="24" t="s">
        <v>473</v>
      </c>
      <c r="D1156" s="24">
        <v>512985</v>
      </c>
      <c r="E1156" s="24" t="s">
        <v>522</v>
      </c>
      <c r="F1156" s="24">
        <v>9699193721</v>
      </c>
      <c r="G1156" s="24" t="s">
        <v>1597</v>
      </c>
    </row>
    <row r="1157" spans="1:7" ht="15" customHeight="1" x14ac:dyDescent="0.25">
      <c r="A1157" s="25" t="s">
        <v>1592</v>
      </c>
      <c r="B1157" s="24" t="s">
        <v>477</v>
      </c>
      <c r="C1157" s="24" t="s">
        <v>478</v>
      </c>
      <c r="D1157" s="24">
        <v>512901</v>
      </c>
      <c r="E1157" s="25" t="s">
        <v>522</v>
      </c>
      <c r="F1157" s="25">
        <v>9699193721</v>
      </c>
      <c r="G1157" s="24" t="s">
        <v>1598</v>
      </c>
    </row>
    <row r="1158" spans="1:7" ht="15" customHeight="1" x14ac:dyDescent="0.25">
      <c r="A1158" s="25" t="s">
        <v>1592</v>
      </c>
      <c r="B1158" s="24" t="s">
        <v>459</v>
      </c>
      <c r="C1158" s="24" t="s">
        <v>460</v>
      </c>
      <c r="D1158" s="25">
        <v>512903</v>
      </c>
      <c r="E1158" s="25" t="s">
        <v>522</v>
      </c>
      <c r="F1158" s="25">
        <v>9699193721</v>
      </c>
      <c r="G1158" s="24" t="s">
        <v>1599</v>
      </c>
    </row>
    <row r="1159" spans="1:7" ht="15" customHeight="1" x14ac:dyDescent="0.25">
      <c r="A1159" s="25" t="s">
        <v>1592</v>
      </c>
      <c r="B1159" s="24" t="s">
        <v>463</v>
      </c>
      <c r="C1159" s="24" t="s">
        <v>464</v>
      </c>
      <c r="D1159" s="25">
        <v>512903</v>
      </c>
      <c r="E1159" s="25" t="s">
        <v>522</v>
      </c>
      <c r="F1159" s="25">
        <v>9699193721</v>
      </c>
      <c r="G1159" s="24" t="s">
        <v>1600</v>
      </c>
    </row>
    <row r="1160" spans="1:7" ht="15" customHeight="1" x14ac:dyDescent="0.25">
      <c r="A1160" s="25" t="s">
        <v>1592</v>
      </c>
      <c r="B1160" s="24" t="s">
        <v>466</v>
      </c>
      <c r="C1160" s="24" t="s">
        <v>467</v>
      </c>
      <c r="D1160" s="25">
        <v>512903</v>
      </c>
      <c r="E1160" s="25" t="s">
        <v>522</v>
      </c>
      <c r="F1160" s="25">
        <v>9699193721</v>
      </c>
      <c r="G1160" s="24" t="s">
        <v>1601</v>
      </c>
    </row>
    <row r="1161" spans="1:7" ht="15" customHeight="1" x14ac:dyDescent="0.25">
      <c r="A1161" s="24" t="s">
        <v>1592</v>
      </c>
      <c r="B1161" s="25" t="s">
        <v>872</v>
      </c>
      <c r="C1161" s="24" t="s">
        <v>872</v>
      </c>
      <c r="D1161" s="25">
        <v>512917</v>
      </c>
      <c r="E1161" s="24" t="s">
        <v>522</v>
      </c>
      <c r="F1161" s="24">
        <v>9699193721</v>
      </c>
      <c r="G1161" s="24" t="s">
        <v>1602</v>
      </c>
    </row>
    <row r="1162" spans="1:7" ht="15" customHeight="1" x14ac:dyDescent="0.25">
      <c r="A1162" s="24" t="s">
        <v>1592</v>
      </c>
      <c r="B1162" s="25" t="s">
        <v>874</v>
      </c>
      <c r="C1162" s="24" t="s">
        <v>874</v>
      </c>
      <c r="D1162" s="25">
        <v>512885</v>
      </c>
      <c r="E1162" s="24" t="s">
        <v>522</v>
      </c>
      <c r="F1162" s="24">
        <v>9699193721</v>
      </c>
      <c r="G1162" s="24" t="s">
        <v>1603</v>
      </c>
    </row>
    <row r="1163" spans="1:7" ht="15" customHeight="1" x14ac:dyDescent="0.25">
      <c r="A1163" s="24" t="s">
        <v>1592</v>
      </c>
      <c r="B1163" s="24" t="s">
        <v>884</v>
      </c>
      <c r="C1163" s="24" t="s">
        <v>884</v>
      </c>
      <c r="D1163" s="24">
        <v>612105</v>
      </c>
      <c r="E1163" s="24" t="s">
        <v>522</v>
      </c>
      <c r="F1163" s="24">
        <v>9699193721</v>
      </c>
      <c r="G1163" s="24" t="s">
        <v>1604</v>
      </c>
    </row>
    <row r="1164" spans="1:7" ht="15" customHeight="1" x14ac:dyDescent="0.25">
      <c r="A1164" s="24" t="s">
        <v>1592</v>
      </c>
      <c r="B1164" s="25" t="s">
        <v>941</v>
      </c>
      <c r="C1164" s="25" t="s">
        <v>942</v>
      </c>
      <c r="D1164" s="25">
        <v>512884</v>
      </c>
      <c r="E1164" s="24" t="s">
        <v>522</v>
      </c>
      <c r="F1164" s="24">
        <v>9699193721</v>
      </c>
      <c r="G1164" s="24" t="s">
        <v>943</v>
      </c>
    </row>
    <row r="1165" spans="1:7" ht="15" customHeight="1" x14ac:dyDescent="0.25">
      <c r="A1165" s="25" t="s">
        <v>1605</v>
      </c>
      <c r="B1165" s="25" t="s">
        <v>469</v>
      </c>
      <c r="C1165" s="25" t="s">
        <v>470</v>
      </c>
      <c r="D1165" s="25">
        <v>512901</v>
      </c>
      <c r="E1165" s="25" t="s">
        <v>522</v>
      </c>
      <c r="F1165" s="25">
        <v>9699193721</v>
      </c>
      <c r="G1165" s="24" t="s">
        <v>1606</v>
      </c>
    </row>
    <row r="1166" spans="1:7" ht="15" customHeight="1" x14ac:dyDescent="0.25">
      <c r="A1166" s="25" t="s">
        <v>1605</v>
      </c>
      <c r="B1166" s="24" t="s">
        <v>480</v>
      </c>
      <c r="C1166" s="24" t="s">
        <v>481</v>
      </c>
      <c r="D1166" s="24">
        <v>512916</v>
      </c>
      <c r="E1166" s="25" t="s">
        <v>522</v>
      </c>
      <c r="F1166" s="25">
        <v>9699193721</v>
      </c>
      <c r="G1166" s="24" t="s">
        <v>1607</v>
      </c>
    </row>
    <row r="1167" spans="1:7" ht="15" customHeight="1" x14ac:dyDescent="0.25">
      <c r="A1167" s="24" t="s">
        <v>1605</v>
      </c>
      <c r="B1167" s="24" t="s">
        <v>483</v>
      </c>
      <c r="C1167" s="24" t="s">
        <v>484</v>
      </c>
      <c r="D1167" s="24">
        <v>512915</v>
      </c>
      <c r="E1167" s="24" t="s">
        <v>522</v>
      </c>
      <c r="F1167" s="24">
        <v>9699193721</v>
      </c>
      <c r="G1167" s="24" t="s">
        <v>1608</v>
      </c>
    </row>
    <row r="1168" spans="1:7" ht="15" customHeight="1" x14ac:dyDescent="0.25">
      <c r="A1168" s="25" t="s">
        <v>1605</v>
      </c>
      <c r="B1168" s="24" t="s">
        <v>486</v>
      </c>
      <c r="C1168" s="24" t="s">
        <v>484</v>
      </c>
      <c r="D1168" s="24">
        <v>512915</v>
      </c>
      <c r="E1168" s="25" t="s">
        <v>522</v>
      </c>
      <c r="F1168" s="25">
        <v>9699193721</v>
      </c>
      <c r="G1168" s="24" t="s">
        <v>1608</v>
      </c>
    </row>
    <row r="1169" spans="1:7" ht="15" customHeight="1" x14ac:dyDescent="0.25">
      <c r="A1169" s="25" t="s">
        <v>1605</v>
      </c>
      <c r="B1169" s="24" t="s">
        <v>487</v>
      </c>
      <c r="C1169" s="24" t="s">
        <v>488</v>
      </c>
      <c r="D1169" s="24">
        <v>512907</v>
      </c>
      <c r="E1169" s="25" t="s">
        <v>522</v>
      </c>
      <c r="F1169" s="25">
        <v>9699193721</v>
      </c>
      <c r="G1169" s="24" t="s">
        <v>1609</v>
      </c>
    </row>
    <row r="1170" spans="1:7" ht="15" customHeight="1" x14ac:dyDescent="0.25">
      <c r="A1170" s="24" t="s">
        <v>1605</v>
      </c>
      <c r="B1170" s="24" t="s">
        <v>472</v>
      </c>
      <c r="C1170" s="24" t="s">
        <v>473</v>
      </c>
      <c r="D1170" s="24">
        <v>512985</v>
      </c>
      <c r="E1170" s="24" t="s">
        <v>522</v>
      </c>
      <c r="F1170" s="24">
        <v>9699193721</v>
      </c>
      <c r="G1170" s="24" t="s">
        <v>1610</v>
      </c>
    </row>
    <row r="1171" spans="1:7" ht="15" customHeight="1" x14ac:dyDescent="0.25">
      <c r="A1171" s="25" t="s">
        <v>1605</v>
      </c>
      <c r="B1171" s="24" t="s">
        <v>477</v>
      </c>
      <c r="C1171" s="24" t="s">
        <v>478</v>
      </c>
      <c r="D1171" s="24">
        <v>512901</v>
      </c>
      <c r="E1171" s="25" t="s">
        <v>522</v>
      </c>
      <c r="F1171" s="25">
        <v>9699193721</v>
      </c>
      <c r="G1171" s="24" t="s">
        <v>1611</v>
      </c>
    </row>
    <row r="1172" spans="1:7" ht="15" customHeight="1" x14ac:dyDescent="0.25">
      <c r="A1172" s="25" t="s">
        <v>1605</v>
      </c>
      <c r="B1172" s="24" t="s">
        <v>459</v>
      </c>
      <c r="C1172" s="24" t="s">
        <v>460</v>
      </c>
      <c r="D1172" s="25">
        <v>512903</v>
      </c>
      <c r="E1172" s="25" t="s">
        <v>522</v>
      </c>
      <c r="F1172" s="25">
        <v>9699193721</v>
      </c>
      <c r="G1172" s="24" t="s">
        <v>1612</v>
      </c>
    </row>
    <row r="1173" spans="1:7" ht="15" customHeight="1" x14ac:dyDescent="0.25">
      <c r="A1173" s="25" t="s">
        <v>1605</v>
      </c>
      <c r="B1173" s="24" t="s">
        <v>463</v>
      </c>
      <c r="C1173" s="24" t="s">
        <v>464</v>
      </c>
      <c r="D1173" s="25">
        <v>512903</v>
      </c>
      <c r="E1173" s="25" t="s">
        <v>522</v>
      </c>
      <c r="F1173" s="25">
        <v>9699193721</v>
      </c>
      <c r="G1173" s="24" t="s">
        <v>1613</v>
      </c>
    </row>
    <row r="1174" spans="1:7" ht="15" customHeight="1" x14ac:dyDescent="0.25">
      <c r="A1174" s="25" t="s">
        <v>1605</v>
      </c>
      <c r="B1174" s="24" t="s">
        <v>466</v>
      </c>
      <c r="C1174" s="24" t="s">
        <v>467</v>
      </c>
      <c r="D1174" s="25">
        <v>512903</v>
      </c>
      <c r="E1174" s="25" t="s">
        <v>522</v>
      </c>
      <c r="F1174" s="25">
        <v>9699193721</v>
      </c>
      <c r="G1174" s="24" t="s">
        <v>1614</v>
      </c>
    </row>
    <row r="1175" spans="1:7" ht="15" customHeight="1" x14ac:dyDescent="0.25">
      <c r="A1175" s="24" t="s">
        <v>1605</v>
      </c>
      <c r="B1175" s="25" t="s">
        <v>872</v>
      </c>
      <c r="C1175" s="24" t="s">
        <v>872</v>
      </c>
      <c r="D1175" s="25">
        <v>512917</v>
      </c>
      <c r="E1175" s="24" t="s">
        <v>522</v>
      </c>
      <c r="F1175" s="24">
        <v>9699193721</v>
      </c>
      <c r="G1175" s="24" t="s">
        <v>1615</v>
      </c>
    </row>
    <row r="1176" spans="1:7" ht="15" customHeight="1" x14ac:dyDescent="0.25">
      <c r="A1176" s="24" t="s">
        <v>1605</v>
      </c>
      <c r="B1176" s="25" t="s">
        <v>874</v>
      </c>
      <c r="C1176" s="24" t="s">
        <v>874</v>
      </c>
      <c r="D1176" s="25">
        <v>512885</v>
      </c>
      <c r="E1176" s="24" t="s">
        <v>522</v>
      </c>
      <c r="F1176" s="24">
        <v>9699193721</v>
      </c>
      <c r="G1176" s="24" t="s">
        <v>1616</v>
      </c>
    </row>
    <row r="1177" spans="1:7" ht="15" customHeight="1" x14ac:dyDescent="0.25">
      <c r="A1177" s="24" t="s">
        <v>1605</v>
      </c>
      <c r="B1177" s="24" t="s">
        <v>884</v>
      </c>
      <c r="C1177" s="24" t="s">
        <v>884</v>
      </c>
      <c r="D1177" s="24">
        <v>612105</v>
      </c>
      <c r="E1177" s="24" t="s">
        <v>522</v>
      </c>
      <c r="F1177" s="24">
        <v>9699193721</v>
      </c>
      <c r="G1177" s="24" t="s">
        <v>1617</v>
      </c>
    </row>
    <row r="1178" spans="1:7" ht="15" customHeight="1" x14ac:dyDescent="0.25">
      <c r="A1178" s="24" t="s">
        <v>1605</v>
      </c>
      <c r="B1178" s="25" t="s">
        <v>941</v>
      </c>
      <c r="C1178" s="25" t="s">
        <v>942</v>
      </c>
      <c r="D1178" s="25">
        <v>512884</v>
      </c>
      <c r="E1178" s="24" t="s">
        <v>522</v>
      </c>
      <c r="F1178" s="24">
        <v>9699193721</v>
      </c>
      <c r="G1178" s="24" t="s">
        <v>943</v>
      </c>
    </row>
    <row r="1179" spans="1:7" ht="15" customHeight="1" x14ac:dyDescent="0.25">
      <c r="A1179" s="25" t="s">
        <v>1618</v>
      </c>
      <c r="B1179" s="25" t="s">
        <v>469</v>
      </c>
      <c r="C1179" s="25" t="s">
        <v>470</v>
      </c>
      <c r="D1179" s="25">
        <v>512901</v>
      </c>
      <c r="E1179" s="25" t="s">
        <v>522</v>
      </c>
      <c r="F1179" s="25">
        <v>9699193721</v>
      </c>
      <c r="G1179" s="24" t="s">
        <v>1619</v>
      </c>
    </row>
    <row r="1180" spans="1:7" ht="15" customHeight="1" x14ac:dyDescent="0.25">
      <c r="A1180" s="25" t="s">
        <v>1618</v>
      </c>
      <c r="B1180" s="24" t="s">
        <v>480</v>
      </c>
      <c r="C1180" s="24" t="s">
        <v>481</v>
      </c>
      <c r="D1180" s="24">
        <v>512916</v>
      </c>
      <c r="E1180" s="25" t="s">
        <v>522</v>
      </c>
      <c r="F1180" s="25">
        <v>9699193721</v>
      </c>
      <c r="G1180" s="24" t="s">
        <v>1620</v>
      </c>
    </row>
    <row r="1181" spans="1:7" ht="15" customHeight="1" x14ac:dyDescent="0.25">
      <c r="A1181" s="24" t="s">
        <v>1618</v>
      </c>
      <c r="B1181" s="24" t="s">
        <v>483</v>
      </c>
      <c r="C1181" s="24" t="s">
        <v>484</v>
      </c>
      <c r="D1181" s="24">
        <v>512915</v>
      </c>
      <c r="E1181" s="24" t="s">
        <v>522</v>
      </c>
      <c r="F1181" s="24">
        <v>9699193721</v>
      </c>
      <c r="G1181" s="24" t="s">
        <v>1621</v>
      </c>
    </row>
    <row r="1182" spans="1:7" ht="15" customHeight="1" x14ac:dyDescent="0.25">
      <c r="A1182" s="25" t="s">
        <v>1618</v>
      </c>
      <c r="B1182" s="24" t="s">
        <v>486</v>
      </c>
      <c r="C1182" s="24" t="s">
        <v>484</v>
      </c>
      <c r="D1182" s="24">
        <v>512915</v>
      </c>
      <c r="E1182" s="25" t="s">
        <v>522</v>
      </c>
      <c r="F1182" s="25">
        <v>9699193721</v>
      </c>
      <c r="G1182" s="24" t="s">
        <v>1621</v>
      </c>
    </row>
    <row r="1183" spans="1:7" ht="15" customHeight="1" x14ac:dyDescent="0.25">
      <c r="A1183" s="25" t="s">
        <v>1618</v>
      </c>
      <c r="B1183" s="24" t="s">
        <v>487</v>
      </c>
      <c r="C1183" s="24" t="s">
        <v>488</v>
      </c>
      <c r="D1183" s="24">
        <v>512907</v>
      </c>
      <c r="E1183" s="25" t="s">
        <v>522</v>
      </c>
      <c r="F1183" s="25">
        <v>9699193721</v>
      </c>
      <c r="G1183" s="24" t="s">
        <v>1622</v>
      </c>
    </row>
    <row r="1184" spans="1:7" ht="15" customHeight="1" x14ac:dyDescent="0.25">
      <c r="A1184" s="24" t="s">
        <v>1618</v>
      </c>
      <c r="B1184" s="24" t="s">
        <v>472</v>
      </c>
      <c r="C1184" s="24" t="s">
        <v>473</v>
      </c>
      <c r="D1184" s="24">
        <v>512985</v>
      </c>
      <c r="E1184" s="24" t="s">
        <v>522</v>
      </c>
      <c r="F1184" s="24">
        <v>9699193721</v>
      </c>
      <c r="G1184" s="24" t="s">
        <v>1623</v>
      </c>
    </row>
    <row r="1185" spans="1:7" ht="15" customHeight="1" x14ac:dyDescent="0.25">
      <c r="A1185" s="25" t="s">
        <v>1618</v>
      </c>
      <c r="B1185" s="24" t="s">
        <v>477</v>
      </c>
      <c r="C1185" s="24" t="s">
        <v>478</v>
      </c>
      <c r="D1185" s="24">
        <v>512901</v>
      </c>
      <c r="E1185" s="25" t="s">
        <v>522</v>
      </c>
      <c r="F1185" s="25">
        <v>9699193721</v>
      </c>
      <c r="G1185" s="24" t="s">
        <v>1624</v>
      </c>
    </row>
    <row r="1186" spans="1:7" ht="15" customHeight="1" x14ac:dyDescent="0.25">
      <c r="A1186" s="25" t="s">
        <v>1618</v>
      </c>
      <c r="B1186" s="24" t="s">
        <v>459</v>
      </c>
      <c r="C1186" s="24" t="s">
        <v>460</v>
      </c>
      <c r="D1186" s="25">
        <v>512903</v>
      </c>
      <c r="E1186" s="25" t="s">
        <v>522</v>
      </c>
      <c r="F1186" s="25">
        <v>9699193721</v>
      </c>
      <c r="G1186" s="24" t="s">
        <v>1625</v>
      </c>
    </row>
    <row r="1187" spans="1:7" ht="15" customHeight="1" x14ac:dyDescent="0.25">
      <c r="A1187" s="25" t="s">
        <v>1618</v>
      </c>
      <c r="B1187" s="24" t="s">
        <v>463</v>
      </c>
      <c r="C1187" s="24" t="s">
        <v>464</v>
      </c>
      <c r="D1187" s="25">
        <v>512903</v>
      </c>
      <c r="E1187" s="25" t="s">
        <v>522</v>
      </c>
      <c r="F1187" s="25">
        <v>9699193721</v>
      </c>
      <c r="G1187" s="24" t="s">
        <v>1626</v>
      </c>
    </row>
    <row r="1188" spans="1:7" ht="15" customHeight="1" x14ac:dyDescent="0.25">
      <c r="A1188" s="25" t="s">
        <v>1618</v>
      </c>
      <c r="B1188" s="24" t="s">
        <v>466</v>
      </c>
      <c r="C1188" s="24" t="s">
        <v>467</v>
      </c>
      <c r="D1188" s="25">
        <v>512903</v>
      </c>
      <c r="E1188" s="25" t="s">
        <v>522</v>
      </c>
      <c r="F1188" s="25">
        <v>9699193721</v>
      </c>
      <c r="G1188" s="24" t="s">
        <v>1627</v>
      </c>
    </row>
    <row r="1189" spans="1:7" ht="15" customHeight="1" x14ac:dyDescent="0.25">
      <c r="A1189" s="24" t="s">
        <v>1618</v>
      </c>
      <c r="B1189" s="25" t="s">
        <v>872</v>
      </c>
      <c r="C1189" s="24" t="s">
        <v>872</v>
      </c>
      <c r="D1189" s="25">
        <v>512917</v>
      </c>
      <c r="E1189" s="24" t="s">
        <v>522</v>
      </c>
      <c r="F1189" s="24">
        <v>9699193721</v>
      </c>
      <c r="G1189" s="24" t="s">
        <v>1628</v>
      </c>
    </row>
    <row r="1190" spans="1:7" ht="15" customHeight="1" x14ac:dyDescent="0.25">
      <c r="A1190" s="24" t="s">
        <v>1618</v>
      </c>
      <c r="B1190" s="25" t="s">
        <v>874</v>
      </c>
      <c r="C1190" s="24" t="s">
        <v>874</v>
      </c>
      <c r="D1190" s="25">
        <v>512885</v>
      </c>
      <c r="E1190" s="24" t="s">
        <v>522</v>
      </c>
      <c r="F1190" s="24">
        <v>9699193721</v>
      </c>
      <c r="G1190" s="24" t="s">
        <v>1629</v>
      </c>
    </row>
    <row r="1191" spans="1:7" ht="15" customHeight="1" x14ac:dyDescent="0.25">
      <c r="A1191" s="24" t="s">
        <v>1618</v>
      </c>
      <c r="B1191" s="24" t="s">
        <v>884</v>
      </c>
      <c r="C1191" s="24" t="s">
        <v>884</v>
      </c>
      <c r="D1191" s="24">
        <v>612105</v>
      </c>
      <c r="E1191" s="24" t="s">
        <v>522</v>
      </c>
      <c r="F1191" s="24">
        <v>9699193721</v>
      </c>
      <c r="G1191" s="24" t="s">
        <v>1630</v>
      </c>
    </row>
    <row r="1192" spans="1:7" ht="15" customHeight="1" x14ac:dyDescent="0.25">
      <c r="A1192" s="24" t="s">
        <v>1618</v>
      </c>
      <c r="B1192" s="25" t="s">
        <v>941</v>
      </c>
      <c r="C1192" s="25" t="s">
        <v>942</v>
      </c>
      <c r="D1192" s="25">
        <v>512884</v>
      </c>
      <c r="E1192" s="24" t="s">
        <v>522</v>
      </c>
      <c r="F1192" s="24">
        <v>9699193721</v>
      </c>
      <c r="G1192" s="24" t="s">
        <v>943</v>
      </c>
    </row>
  </sheetData>
  <autoFilter ref="A1:G1150" xr:uid="{00000000-0001-0000-0400-000000000000}">
    <filterColumn colId="0">
      <filters>
        <filter val="Colombia XD Cali"/>
      </filters>
    </filterColumn>
  </autoFilter>
  <pageMargins left="0.7" right="0.7" top="0.75" bottom="0.75" header="0" footer="0"/>
  <pageSetup orientation="portrait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>
    <tabColor rgb="FFFFFF00"/>
  </sheetPr>
  <dimension ref="A1:C1000"/>
  <sheetViews>
    <sheetView workbookViewId="0">
      <selection activeCell="A11" sqref="A11"/>
    </sheetView>
  </sheetViews>
  <sheetFormatPr baseColWidth="10" defaultColWidth="14.42578125" defaultRowHeight="15" customHeight="1" x14ac:dyDescent="0.25"/>
  <cols>
    <col min="1" max="1" width="91" customWidth="1"/>
    <col min="2" max="3" width="92" customWidth="1"/>
    <col min="4" max="26" width="9.140625" customWidth="1"/>
  </cols>
  <sheetData>
    <row r="1" spans="1:3" x14ac:dyDescent="0.25">
      <c r="A1" s="32" t="s">
        <v>1445</v>
      </c>
      <c r="B1" s="32" t="s">
        <v>1446</v>
      </c>
      <c r="C1" s="32" t="s">
        <v>1447</v>
      </c>
    </row>
    <row r="2" spans="1:3" x14ac:dyDescent="0.25">
      <c r="A2" s="47" t="s">
        <v>1448</v>
      </c>
      <c r="B2" s="46" t="s">
        <v>1448</v>
      </c>
      <c r="C2" s="46" t="s">
        <v>1448</v>
      </c>
    </row>
    <row r="3" spans="1:3" x14ac:dyDescent="0.25">
      <c r="A3" s="45"/>
      <c r="B3" s="45"/>
      <c r="C3" s="46" t="s">
        <v>1449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portrait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A1000"/>
  <sheetViews>
    <sheetView workbookViewId="0"/>
  </sheetViews>
  <sheetFormatPr baseColWidth="10" defaultColWidth="14.42578125" defaultRowHeight="15" customHeight="1" x14ac:dyDescent="0.25"/>
  <cols>
    <col min="1" max="26" width="9.140625" customWidth="1"/>
  </cols>
  <sheetData>
    <row r="1" spans="1:1" x14ac:dyDescent="0.25">
      <c r="A1" s="32" t="s">
        <v>1450</v>
      </c>
    </row>
    <row r="2" spans="1:1" x14ac:dyDescent="0.25">
      <c r="A2" s="32" t="s">
        <v>246</v>
      </c>
    </row>
    <row r="21" ht="15.75" customHeight="1" x14ac:dyDescent="0.25"/>
    <row r="22" ht="15.75" customHeight="1" x14ac:dyDescent="0.25"/>
    <row r="23" ht="15.75" customHeight="1" x14ac:dyDescent="0.25"/>
    <row r="24" ht="15.75" customHeight="1" x14ac:dyDescent="0.25"/>
    <row r="25" ht="15.75" customHeight="1" x14ac:dyDescent="0.25"/>
    <row r="26" ht="15.75" customHeight="1" x14ac:dyDescent="0.25"/>
    <row r="27" ht="15.75" customHeight="1" x14ac:dyDescent="0.25"/>
    <row r="28" ht="15.75" customHeight="1" x14ac:dyDescent="0.25"/>
    <row r="29" ht="15.75" customHeight="1" x14ac:dyDescent="0.25"/>
    <row r="30" ht="15.75" customHeight="1" x14ac:dyDescent="0.25"/>
    <row r="31" ht="15.75" customHeight="1" x14ac:dyDescent="0.25"/>
    <row r="32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portrait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rgb="FF92D050"/>
  </sheetPr>
  <dimension ref="A1:Z1000"/>
  <sheetViews>
    <sheetView topLeftCell="A80" workbookViewId="0">
      <selection activeCell="A87" sqref="A87"/>
    </sheetView>
  </sheetViews>
  <sheetFormatPr baseColWidth="10" defaultColWidth="14.42578125" defaultRowHeight="15" customHeight="1" x14ac:dyDescent="0.25"/>
  <cols>
    <col min="1" max="1" width="37.5703125" customWidth="1"/>
    <col min="2" max="3" width="14" customWidth="1"/>
    <col min="4" max="4" width="16.28515625" customWidth="1"/>
    <col min="5" max="5" width="24.140625" customWidth="1"/>
    <col min="6" max="6" width="37.140625" customWidth="1"/>
    <col min="7" max="7" width="25.140625" customWidth="1"/>
    <col min="8" max="8" width="26.28515625" customWidth="1"/>
    <col min="9" max="9" width="12.7109375" customWidth="1"/>
    <col min="10" max="10" width="10.5703125" customWidth="1"/>
    <col min="11" max="11" width="31.7109375" customWidth="1"/>
    <col min="12" max="12" width="9.140625" customWidth="1"/>
    <col min="13" max="13" width="11.28515625" customWidth="1"/>
    <col min="14" max="14" width="18.28515625" customWidth="1"/>
    <col min="15" max="26" width="9.140625" customWidth="1"/>
  </cols>
  <sheetData>
    <row r="1" spans="1:26" x14ac:dyDescent="0.25">
      <c r="A1" s="2" t="s">
        <v>4</v>
      </c>
      <c r="B1" s="2" t="s">
        <v>217</v>
      </c>
      <c r="C1" s="2" t="s">
        <v>8</v>
      </c>
      <c r="D1" s="2" t="s">
        <v>1451</v>
      </c>
      <c r="E1" s="2" t="s">
        <v>1452</v>
      </c>
      <c r="F1" s="2" t="s">
        <v>1453</v>
      </c>
      <c r="G1" s="2" t="s">
        <v>1454</v>
      </c>
      <c r="H1" s="2" t="s">
        <v>1455</v>
      </c>
      <c r="I1" s="2" t="s">
        <v>1456</v>
      </c>
      <c r="J1" s="2" t="s">
        <v>1457</v>
      </c>
      <c r="K1" s="2" t="s">
        <v>1458</v>
      </c>
      <c r="L1" s="2" t="s">
        <v>1459</v>
      </c>
      <c r="M1" s="2" t="s">
        <v>1460</v>
      </c>
      <c r="N1" s="2" t="s">
        <v>1461</v>
      </c>
    </row>
    <row r="2" spans="1:26" x14ac:dyDescent="0.25">
      <c r="A2" s="2" t="s">
        <v>614</v>
      </c>
      <c r="B2" s="2" t="s">
        <v>1462</v>
      </c>
      <c r="C2" s="1" t="s">
        <v>102</v>
      </c>
      <c r="D2" s="2" t="s">
        <v>1463</v>
      </c>
      <c r="E2" s="2" t="s">
        <v>1464</v>
      </c>
      <c r="F2" s="33" t="s">
        <v>1465</v>
      </c>
      <c r="G2" s="2" t="s">
        <v>1466</v>
      </c>
      <c r="H2" s="2" t="s">
        <v>1467</v>
      </c>
      <c r="I2" s="2" t="s">
        <v>1468</v>
      </c>
      <c r="J2" s="2" t="s">
        <v>1468</v>
      </c>
      <c r="K2" s="2" t="s">
        <v>1469</v>
      </c>
      <c r="L2" s="2" t="s">
        <v>1468</v>
      </c>
      <c r="M2" s="2" t="s">
        <v>246</v>
      </c>
      <c r="N2" s="1" t="s">
        <v>1470</v>
      </c>
    </row>
    <row r="3" spans="1:26" x14ac:dyDescent="0.25">
      <c r="A3" s="1" t="s">
        <v>673</v>
      </c>
      <c r="B3" s="1" t="s">
        <v>1462</v>
      </c>
      <c r="C3" s="1" t="s">
        <v>102</v>
      </c>
      <c r="D3" s="1" t="s">
        <v>1463</v>
      </c>
      <c r="E3" s="1" t="s">
        <v>1464</v>
      </c>
      <c r="F3" s="33" t="s">
        <v>1465</v>
      </c>
      <c r="G3" s="1" t="s">
        <v>1466</v>
      </c>
      <c r="H3" s="1" t="s">
        <v>1471</v>
      </c>
      <c r="I3" s="1" t="s">
        <v>1468</v>
      </c>
      <c r="J3" s="1" t="s">
        <v>1468</v>
      </c>
      <c r="K3" s="1" t="s">
        <v>1469</v>
      </c>
      <c r="L3" s="1" t="s">
        <v>1468</v>
      </c>
      <c r="M3" s="1" t="s">
        <v>246</v>
      </c>
      <c r="N3" s="1" t="s">
        <v>1470</v>
      </c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x14ac:dyDescent="0.25">
      <c r="A4" s="1" t="s">
        <v>688</v>
      </c>
      <c r="B4" s="1" t="s">
        <v>1462</v>
      </c>
      <c r="C4" s="1" t="s">
        <v>102</v>
      </c>
      <c r="D4" s="1" t="s">
        <v>1463</v>
      </c>
      <c r="E4" s="1" t="s">
        <v>1464</v>
      </c>
      <c r="F4" s="33" t="s">
        <v>1465</v>
      </c>
      <c r="G4" s="1" t="s">
        <v>1466</v>
      </c>
      <c r="H4" s="1" t="s">
        <v>1472</v>
      </c>
      <c r="I4" s="1" t="s">
        <v>1468</v>
      </c>
      <c r="J4" s="1" t="s">
        <v>1468</v>
      </c>
      <c r="K4" s="1" t="s">
        <v>1469</v>
      </c>
      <c r="L4" s="1" t="s">
        <v>1468</v>
      </c>
      <c r="M4" s="1" t="s">
        <v>246</v>
      </c>
      <c r="N4" s="1" t="s">
        <v>1470</v>
      </c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x14ac:dyDescent="0.25">
      <c r="A5" s="1" t="s">
        <v>703</v>
      </c>
      <c r="B5" s="1" t="s">
        <v>1462</v>
      </c>
      <c r="C5" s="1" t="s">
        <v>102</v>
      </c>
      <c r="D5" s="1" t="s">
        <v>1463</v>
      </c>
      <c r="E5" s="1" t="s">
        <v>1464</v>
      </c>
      <c r="F5" s="33" t="s">
        <v>1465</v>
      </c>
      <c r="G5" s="1" t="s">
        <v>1466</v>
      </c>
      <c r="H5" s="1" t="s">
        <v>1473</v>
      </c>
      <c r="I5" s="1" t="s">
        <v>1468</v>
      </c>
      <c r="J5" s="1" t="s">
        <v>1468</v>
      </c>
      <c r="K5" s="1" t="s">
        <v>1469</v>
      </c>
      <c r="L5" s="1" t="s">
        <v>1468</v>
      </c>
      <c r="M5" s="1" t="s">
        <v>246</v>
      </c>
      <c r="N5" s="1" t="s">
        <v>1470</v>
      </c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x14ac:dyDescent="0.25">
      <c r="A6" s="2" t="s">
        <v>887</v>
      </c>
      <c r="B6" s="2" t="s">
        <v>10</v>
      </c>
      <c r="C6" s="2" t="s">
        <v>15</v>
      </c>
      <c r="D6" s="2" t="s">
        <v>1474</v>
      </c>
      <c r="E6" s="2" t="s">
        <v>1475</v>
      </c>
      <c r="F6" s="2" t="s">
        <v>1465</v>
      </c>
      <c r="G6" s="2" t="s">
        <v>1466</v>
      </c>
      <c r="H6" s="2" t="s">
        <v>1476</v>
      </c>
      <c r="I6" s="2" t="s">
        <v>1468</v>
      </c>
      <c r="J6" s="2" t="s">
        <v>1468</v>
      </c>
      <c r="K6" s="1" t="s">
        <v>1469</v>
      </c>
      <c r="L6" s="2" t="s">
        <v>1468</v>
      </c>
      <c r="M6" s="2" t="s">
        <v>246</v>
      </c>
      <c r="N6" s="1" t="s">
        <v>1477</v>
      </c>
    </row>
    <row r="7" spans="1:26" x14ac:dyDescent="0.25">
      <c r="A7" s="2" t="s">
        <v>312</v>
      </c>
      <c r="B7" s="2" t="s">
        <v>17</v>
      </c>
      <c r="C7" s="2" t="s">
        <v>21</v>
      </c>
      <c r="D7" s="2" t="s">
        <v>1474</v>
      </c>
      <c r="E7" s="2" t="s">
        <v>1478</v>
      </c>
      <c r="F7" s="2" t="s">
        <v>1479</v>
      </c>
      <c r="G7" s="2" t="s">
        <v>1466</v>
      </c>
      <c r="H7" s="2" t="s">
        <v>1480</v>
      </c>
      <c r="I7" s="2" t="s">
        <v>1468</v>
      </c>
      <c r="J7" s="2" t="s">
        <v>1468</v>
      </c>
      <c r="K7" s="1" t="s">
        <v>1469</v>
      </c>
      <c r="L7" s="2" t="s">
        <v>1468</v>
      </c>
      <c r="M7" s="2" t="s">
        <v>1450</v>
      </c>
      <c r="N7" s="1" t="s">
        <v>1481</v>
      </c>
    </row>
    <row r="8" spans="1:26" x14ac:dyDescent="0.25">
      <c r="A8" s="2" t="s">
        <v>355</v>
      </c>
      <c r="B8" s="2" t="s">
        <v>17</v>
      </c>
      <c r="C8" s="2" t="s">
        <v>21</v>
      </c>
      <c r="D8" s="2" t="s">
        <v>22</v>
      </c>
      <c r="E8" s="2" t="s">
        <v>1478</v>
      </c>
      <c r="F8" s="2" t="s">
        <v>1479</v>
      </c>
      <c r="G8" s="2" t="s">
        <v>1466</v>
      </c>
      <c r="H8" s="2" t="s">
        <v>1480</v>
      </c>
      <c r="I8" s="2" t="s">
        <v>1468</v>
      </c>
      <c r="J8" s="2" t="s">
        <v>1468</v>
      </c>
      <c r="K8" s="1" t="s">
        <v>1469</v>
      </c>
      <c r="L8" s="2" t="s">
        <v>1468</v>
      </c>
      <c r="M8" s="2" t="s">
        <v>1450</v>
      </c>
      <c r="N8" s="1" t="s">
        <v>1481</v>
      </c>
    </row>
    <row r="9" spans="1:26" x14ac:dyDescent="0.25">
      <c r="A9" s="2" t="s">
        <v>372</v>
      </c>
      <c r="B9" s="2" t="s">
        <v>17</v>
      </c>
      <c r="C9" s="2" t="s">
        <v>21</v>
      </c>
      <c r="D9" s="2" t="s">
        <v>1463</v>
      </c>
      <c r="E9" s="2" t="s">
        <v>1478</v>
      </c>
      <c r="F9" s="2" t="s">
        <v>1479</v>
      </c>
      <c r="G9" s="2" t="s">
        <v>1466</v>
      </c>
      <c r="H9" s="2" t="s">
        <v>1480</v>
      </c>
      <c r="I9" s="2" t="s">
        <v>1468</v>
      </c>
      <c r="J9" s="2" t="s">
        <v>1468</v>
      </c>
      <c r="K9" s="1" t="s">
        <v>1469</v>
      </c>
      <c r="L9" s="2" t="s">
        <v>1468</v>
      </c>
      <c r="M9" s="2" t="s">
        <v>1450</v>
      </c>
      <c r="N9" s="1" t="s">
        <v>1481</v>
      </c>
    </row>
    <row r="10" spans="1:26" x14ac:dyDescent="0.25">
      <c r="A10" s="2" t="s">
        <v>389</v>
      </c>
      <c r="B10" s="2" t="s">
        <v>17</v>
      </c>
      <c r="C10" s="2" t="s">
        <v>21</v>
      </c>
      <c r="D10" s="2" t="s">
        <v>1463</v>
      </c>
      <c r="E10" s="2" t="s">
        <v>1478</v>
      </c>
      <c r="F10" s="2" t="s">
        <v>1479</v>
      </c>
      <c r="G10" s="2" t="s">
        <v>1466</v>
      </c>
      <c r="H10" s="2" t="s">
        <v>1480</v>
      </c>
      <c r="I10" s="2" t="s">
        <v>1468</v>
      </c>
      <c r="J10" s="2" t="s">
        <v>1468</v>
      </c>
      <c r="K10" s="1" t="s">
        <v>1469</v>
      </c>
      <c r="L10" s="2" t="s">
        <v>1468</v>
      </c>
      <c r="M10" s="2" t="s">
        <v>1450</v>
      </c>
      <c r="N10" s="1" t="s">
        <v>1481</v>
      </c>
    </row>
    <row r="11" spans="1:26" x14ac:dyDescent="0.25">
      <c r="A11" s="2" t="s">
        <v>405</v>
      </c>
      <c r="B11" s="2" t="s">
        <v>17</v>
      </c>
      <c r="C11" s="2" t="s">
        <v>21</v>
      </c>
      <c r="D11" s="2" t="s">
        <v>1463</v>
      </c>
      <c r="E11" s="2" t="s">
        <v>1478</v>
      </c>
      <c r="F11" s="2" t="s">
        <v>1479</v>
      </c>
      <c r="G11" s="2" t="s">
        <v>1466</v>
      </c>
      <c r="H11" s="2" t="s">
        <v>1480</v>
      </c>
      <c r="I11" s="2" t="s">
        <v>1468</v>
      </c>
      <c r="J11" s="2" t="s">
        <v>1468</v>
      </c>
      <c r="K11" s="1" t="s">
        <v>1469</v>
      </c>
      <c r="L11" s="2" t="s">
        <v>1468</v>
      </c>
      <c r="M11" s="2" t="s">
        <v>1450</v>
      </c>
      <c r="N11" s="1" t="s">
        <v>1481</v>
      </c>
    </row>
    <row r="12" spans="1:26" x14ac:dyDescent="0.25">
      <c r="A12" s="1" t="s">
        <v>438</v>
      </c>
      <c r="B12" s="1" t="s">
        <v>17</v>
      </c>
      <c r="C12" s="1" t="s">
        <v>21</v>
      </c>
      <c r="D12" s="1" t="s">
        <v>1463</v>
      </c>
      <c r="E12" s="1" t="s">
        <v>1478</v>
      </c>
      <c r="F12" s="1" t="s">
        <v>1479</v>
      </c>
      <c r="G12" s="1" t="s">
        <v>1466</v>
      </c>
      <c r="H12" s="1" t="s">
        <v>1480</v>
      </c>
      <c r="I12" s="1" t="s">
        <v>1468</v>
      </c>
      <c r="J12" s="1" t="s">
        <v>1468</v>
      </c>
      <c r="K12" s="1" t="s">
        <v>1469</v>
      </c>
      <c r="L12" s="1" t="s">
        <v>1468</v>
      </c>
      <c r="M12" s="1" t="s">
        <v>1450</v>
      </c>
      <c r="N12" s="1" t="s">
        <v>1481</v>
      </c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x14ac:dyDescent="0.25">
      <c r="A13" s="2" t="s">
        <v>421</v>
      </c>
      <c r="B13" s="2" t="s">
        <v>17</v>
      </c>
      <c r="C13" s="2" t="s">
        <v>21</v>
      </c>
      <c r="D13" s="2" t="s">
        <v>1463</v>
      </c>
      <c r="E13" s="2" t="s">
        <v>1478</v>
      </c>
      <c r="F13" s="2" t="s">
        <v>1479</v>
      </c>
      <c r="G13" s="2" t="s">
        <v>1466</v>
      </c>
      <c r="H13" s="2" t="s">
        <v>1480</v>
      </c>
      <c r="I13" s="2" t="s">
        <v>1468</v>
      </c>
      <c r="J13" s="2" t="s">
        <v>1468</v>
      </c>
      <c r="K13" s="1" t="s">
        <v>1469</v>
      </c>
      <c r="L13" s="2" t="s">
        <v>1468</v>
      </c>
      <c r="M13" s="2" t="s">
        <v>1450</v>
      </c>
      <c r="N13" s="1" t="s">
        <v>1481</v>
      </c>
    </row>
    <row r="14" spans="1:26" x14ac:dyDescent="0.25">
      <c r="A14" s="2" t="s">
        <v>458</v>
      </c>
      <c r="B14" s="2" t="s">
        <v>39</v>
      </c>
      <c r="C14" s="2" t="s">
        <v>42</v>
      </c>
      <c r="D14" s="2" t="s">
        <v>1474</v>
      </c>
      <c r="E14" s="2" t="s">
        <v>1482</v>
      </c>
      <c r="F14" s="2" t="s">
        <v>1465</v>
      </c>
      <c r="G14" s="2" t="s">
        <v>1466</v>
      </c>
      <c r="H14" s="2" t="s">
        <v>1483</v>
      </c>
      <c r="I14" s="2" t="s">
        <v>1468</v>
      </c>
      <c r="J14" s="2" t="s">
        <v>1468</v>
      </c>
      <c r="K14" s="1" t="s">
        <v>1469</v>
      </c>
      <c r="L14" s="2" t="s">
        <v>1468</v>
      </c>
      <c r="M14" s="2" t="s">
        <v>1450</v>
      </c>
      <c r="N14" s="1" t="s">
        <v>1484</v>
      </c>
    </row>
    <row r="15" spans="1:26" x14ac:dyDescent="0.25">
      <c r="A15" s="2" t="s">
        <v>490</v>
      </c>
      <c r="B15" s="2" t="s">
        <v>39</v>
      </c>
      <c r="C15" s="2" t="s">
        <v>42</v>
      </c>
      <c r="D15" s="2" t="s">
        <v>1463</v>
      </c>
      <c r="E15" s="2" t="s">
        <v>1482</v>
      </c>
      <c r="F15" s="2" t="s">
        <v>1465</v>
      </c>
      <c r="G15" s="2" t="s">
        <v>1466</v>
      </c>
      <c r="H15" s="1" t="s">
        <v>1463</v>
      </c>
      <c r="I15" s="2" t="s">
        <v>1468</v>
      </c>
      <c r="J15" s="2" t="s">
        <v>1468</v>
      </c>
      <c r="K15" s="1" t="s">
        <v>1469</v>
      </c>
      <c r="L15" s="2" t="s">
        <v>1468</v>
      </c>
      <c r="M15" s="2" t="s">
        <v>1450</v>
      </c>
      <c r="N15" s="1" t="s">
        <v>1477</v>
      </c>
    </row>
    <row r="16" spans="1:26" x14ac:dyDescent="0.25">
      <c r="A16" s="2" t="s">
        <v>501</v>
      </c>
      <c r="B16" s="2" t="s">
        <v>39</v>
      </c>
      <c r="C16" s="2" t="s">
        <v>42</v>
      </c>
      <c r="D16" s="2" t="s">
        <v>1463</v>
      </c>
      <c r="E16" s="2" t="s">
        <v>1482</v>
      </c>
      <c r="F16" s="2" t="s">
        <v>1465</v>
      </c>
      <c r="G16" s="2" t="s">
        <v>1466</v>
      </c>
      <c r="H16" s="1" t="s">
        <v>1463</v>
      </c>
      <c r="I16" s="2" t="s">
        <v>1468</v>
      </c>
      <c r="J16" s="2" t="s">
        <v>1468</v>
      </c>
      <c r="K16" s="1" t="s">
        <v>1469</v>
      </c>
      <c r="L16" s="2" t="s">
        <v>1468</v>
      </c>
      <c r="M16" s="2" t="s">
        <v>1450</v>
      </c>
      <c r="N16" s="1" t="s">
        <v>1484</v>
      </c>
    </row>
    <row r="17" spans="1:26" x14ac:dyDescent="0.25">
      <c r="A17" s="1" t="s">
        <v>925</v>
      </c>
      <c r="B17" s="1" t="s">
        <v>39</v>
      </c>
      <c r="C17" s="1" t="s">
        <v>42</v>
      </c>
      <c r="D17" s="1" t="s">
        <v>22</v>
      </c>
      <c r="E17" s="1" t="s">
        <v>1482</v>
      </c>
      <c r="F17" s="1" t="s">
        <v>1465</v>
      </c>
      <c r="G17" s="1" t="s">
        <v>1466</v>
      </c>
      <c r="H17" s="1" t="s">
        <v>22</v>
      </c>
      <c r="I17" s="1" t="s">
        <v>1468</v>
      </c>
      <c r="J17" s="1" t="s">
        <v>1468</v>
      </c>
      <c r="K17" s="1" t="s">
        <v>1469</v>
      </c>
      <c r="L17" s="1" t="s">
        <v>1468</v>
      </c>
      <c r="M17" s="1" t="s">
        <v>1450</v>
      </c>
      <c r="N17" s="1" t="s">
        <v>1484</v>
      </c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x14ac:dyDescent="0.25">
      <c r="A18" s="2" t="s">
        <v>511</v>
      </c>
      <c r="B18" s="2" t="s">
        <v>39</v>
      </c>
      <c r="C18" s="2" t="s">
        <v>42</v>
      </c>
      <c r="D18" s="2" t="s">
        <v>1485</v>
      </c>
      <c r="E18" s="2" t="s">
        <v>1482</v>
      </c>
      <c r="F18" s="2" t="s">
        <v>1465</v>
      </c>
      <c r="G18" s="2" t="s">
        <v>1466</v>
      </c>
      <c r="H18" s="1" t="s">
        <v>1463</v>
      </c>
      <c r="I18" s="2" t="s">
        <v>1468</v>
      </c>
      <c r="J18" s="2" t="s">
        <v>1468</v>
      </c>
      <c r="K18" s="1" t="s">
        <v>1469</v>
      </c>
      <c r="L18" s="2" t="s">
        <v>1468</v>
      </c>
      <c r="M18" s="2" t="s">
        <v>1450</v>
      </c>
      <c r="N18" s="1" t="s">
        <v>1484</v>
      </c>
    </row>
    <row r="19" spans="1:26" x14ac:dyDescent="0.25">
      <c r="A19" s="2" t="s">
        <v>521</v>
      </c>
      <c r="B19" s="2" t="s">
        <v>39</v>
      </c>
      <c r="C19" s="2" t="s">
        <v>42</v>
      </c>
      <c r="D19" s="2" t="s">
        <v>22</v>
      </c>
      <c r="E19" s="2" t="s">
        <v>1482</v>
      </c>
      <c r="F19" s="2" t="s">
        <v>1465</v>
      </c>
      <c r="G19" s="2" t="s">
        <v>1466</v>
      </c>
      <c r="H19" s="1" t="s">
        <v>22</v>
      </c>
      <c r="I19" s="2" t="s">
        <v>1468</v>
      </c>
      <c r="J19" s="2" t="s">
        <v>1468</v>
      </c>
      <c r="K19" s="1" t="s">
        <v>1469</v>
      </c>
      <c r="L19" s="2" t="s">
        <v>1468</v>
      </c>
      <c r="M19" s="2" t="s">
        <v>1450</v>
      </c>
      <c r="N19" s="1" t="s">
        <v>1477</v>
      </c>
    </row>
    <row r="20" spans="1:26" x14ac:dyDescent="0.25">
      <c r="A20" s="2" t="s">
        <v>532</v>
      </c>
      <c r="B20" s="2" t="s">
        <v>39</v>
      </c>
      <c r="C20" s="2" t="s">
        <v>42</v>
      </c>
      <c r="D20" s="2" t="s">
        <v>22</v>
      </c>
      <c r="E20" s="2" t="s">
        <v>1482</v>
      </c>
      <c r="F20" s="2" t="s">
        <v>1465</v>
      </c>
      <c r="G20" s="2" t="s">
        <v>1466</v>
      </c>
      <c r="H20" s="1" t="s">
        <v>22</v>
      </c>
      <c r="I20" s="2" t="s">
        <v>1468</v>
      </c>
      <c r="J20" s="2" t="s">
        <v>1468</v>
      </c>
      <c r="K20" s="1" t="s">
        <v>1469</v>
      </c>
      <c r="L20" s="2" t="s">
        <v>1468</v>
      </c>
      <c r="M20" s="2" t="s">
        <v>1450</v>
      </c>
      <c r="N20" s="1" t="s">
        <v>1484</v>
      </c>
    </row>
    <row r="21" spans="1:26" ht="15.75" customHeight="1" x14ac:dyDescent="0.25">
      <c r="A21" s="1" t="s">
        <v>718</v>
      </c>
      <c r="B21" s="1" t="s">
        <v>39</v>
      </c>
      <c r="C21" s="1" t="s">
        <v>42</v>
      </c>
      <c r="D21" s="1" t="s">
        <v>1463</v>
      </c>
      <c r="E21" s="1" t="s">
        <v>1482</v>
      </c>
      <c r="F21" s="1" t="s">
        <v>1465</v>
      </c>
      <c r="G21" s="1" t="s">
        <v>1466</v>
      </c>
      <c r="H21" s="1" t="s">
        <v>1463</v>
      </c>
      <c r="I21" s="1" t="s">
        <v>1468</v>
      </c>
      <c r="J21" s="1" t="s">
        <v>1468</v>
      </c>
      <c r="K21" s="1" t="s">
        <v>1469</v>
      </c>
      <c r="L21" s="1" t="s">
        <v>1468</v>
      </c>
      <c r="M21" s="1" t="s">
        <v>1450</v>
      </c>
      <c r="N21" s="1" t="s">
        <v>1484</v>
      </c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25">
      <c r="A22" s="1" t="s">
        <v>542</v>
      </c>
      <c r="B22" s="1" t="s">
        <v>39</v>
      </c>
      <c r="C22" s="1" t="s">
        <v>42</v>
      </c>
      <c r="D22" s="1" t="s">
        <v>1463</v>
      </c>
      <c r="E22" s="1" t="s">
        <v>1482</v>
      </c>
      <c r="F22" s="1" t="s">
        <v>1465</v>
      </c>
      <c r="G22" s="1" t="s">
        <v>1466</v>
      </c>
      <c r="H22" s="1" t="s">
        <v>1463</v>
      </c>
      <c r="I22" s="1" t="s">
        <v>1468</v>
      </c>
      <c r="J22" s="1" t="s">
        <v>1468</v>
      </c>
      <c r="K22" s="1" t="s">
        <v>1469</v>
      </c>
      <c r="L22" s="1" t="s">
        <v>1468</v>
      </c>
      <c r="M22" s="1" t="s">
        <v>1450</v>
      </c>
      <c r="N22" s="1" t="s">
        <v>1484</v>
      </c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25">
      <c r="A23" s="2" t="s">
        <v>1486</v>
      </c>
      <c r="B23" s="2" t="s">
        <v>59</v>
      </c>
      <c r="C23" s="2" t="s">
        <v>64</v>
      </c>
      <c r="D23" s="2" t="s">
        <v>22</v>
      </c>
      <c r="E23" s="1" t="s">
        <v>1487</v>
      </c>
      <c r="F23" s="2" t="s">
        <v>1488</v>
      </c>
      <c r="G23" s="2" t="s">
        <v>1489</v>
      </c>
      <c r="H23" s="2" t="s">
        <v>1490</v>
      </c>
      <c r="I23" s="2" t="s">
        <v>1468</v>
      </c>
      <c r="J23" s="2" t="s">
        <v>1468</v>
      </c>
      <c r="K23" s="1" t="s">
        <v>1469</v>
      </c>
      <c r="L23" s="2" t="s">
        <v>1468</v>
      </c>
      <c r="M23" s="2" t="s">
        <v>246</v>
      </c>
      <c r="N23" s="1" t="s">
        <v>1477</v>
      </c>
    </row>
    <row r="24" spans="1:26" ht="15.75" customHeight="1" x14ac:dyDescent="0.25">
      <c r="A24" s="2" t="s">
        <v>1491</v>
      </c>
      <c r="B24" s="2" t="s">
        <v>59</v>
      </c>
      <c r="C24" s="2" t="s">
        <v>64</v>
      </c>
      <c r="D24" s="2" t="s">
        <v>22</v>
      </c>
      <c r="E24" s="1" t="s">
        <v>1487</v>
      </c>
      <c r="F24" s="1" t="s">
        <v>1488</v>
      </c>
      <c r="G24" s="1" t="s">
        <v>1489</v>
      </c>
      <c r="H24" s="1" t="s">
        <v>1490</v>
      </c>
      <c r="I24" s="2" t="s">
        <v>1468</v>
      </c>
      <c r="J24" s="2" t="s">
        <v>1468</v>
      </c>
      <c r="K24" s="1" t="s">
        <v>1469</v>
      </c>
      <c r="L24" s="2" t="s">
        <v>1468</v>
      </c>
      <c r="M24" s="2" t="s">
        <v>246</v>
      </c>
      <c r="N24" s="1" t="s">
        <v>1477</v>
      </c>
    </row>
    <row r="25" spans="1:26" ht="15.75" customHeight="1" x14ac:dyDescent="0.25">
      <c r="A25" s="2" t="s">
        <v>1492</v>
      </c>
      <c r="B25" s="2" t="s">
        <v>59</v>
      </c>
      <c r="C25" s="2" t="s">
        <v>64</v>
      </c>
      <c r="D25" s="2" t="s">
        <v>22</v>
      </c>
      <c r="E25" s="1" t="s">
        <v>1487</v>
      </c>
      <c r="F25" s="1" t="s">
        <v>1488</v>
      </c>
      <c r="G25" s="1" t="s">
        <v>1489</v>
      </c>
      <c r="H25" s="1" t="s">
        <v>1490</v>
      </c>
      <c r="I25" s="2" t="s">
        <v>1468</v>
      </c>
      <c r="J25" s="2" t="s">
        <v>1468</v>
      </c>
      <c r="K25" s="1" t="s">
        <v>1469</v>
      </c>
      <c r="L25" s="2" t="s">
        <v>1468</v>
      </c>
      <c r="M25" s="2" t="s">
        <v>246</v>
      </c>
      <c r="N25" s="1" t="s">
        <v>1477</v>
      </c>
    </row>
    <row r="26" spans="1:26" ht="15.75" customHeight="1" x14ac:dyDescent="0.25">
      <c r="A26" s="2" t="s">
        <v>1493</v>
      </c>
      <c r="B26" s="2" t="s">
        <v>59</v>
      </c>
      <c r="C26" s="2" t="s">
        <v>64</v>
      </c>
      <c r="D26" s="2" t="s">
        <v>22</v>
      </c>
      <c r="E26" s="1" t="s">
        <v>1487</v>
      </c>
      <c r="F26" s="1" t="s">
        <v>1488</v>
      </c>
      <c r="G26" s="1" t="s">
        <v>1489</v>
      </c>
      <c r="H26" s="1" t="s">
        <v>1490</v>
      </c>
      <c r="I26" s="2" t="s">
        <v>1468</v>
      </c>
      <c r="J26" s="2" t="s">
        <v>1468</v>
      </c>
      <c r="K26" s="1" t="s">
        <v>1469</v>
      </c>
      <c r="L26" s="2" t="s">
        <v>1468</v>
      </c>
      <c r="M26" s="2" t="s">
        <v>246</v>
      </c>
      <c r="N26" s="1" t="s">
        <v>1477</v>
      </c>
    </row>
    <row r="27" spans="1:26" ht="15.75" customHeight="1" x14ac:dyDescent="0.25">
      <c r="A27" s="2" t="s">
        <v>1494</v>
      </c>
      <c r="B27" s="2" t="s">
        <v>59</v>
      </c>
      <c r="C27" s="2" t="s">
        <v>64</v>
      </c>
      <c r="D27" s="2" t="s">
        <v>22</v>
      </c>
      <c r="E27" s="1" t="s">
        <v>1487</v>
      </c>
      <c r="F27" s="1" t="s">
        <v>1488</v>
      </c>
      <c r="G27" s="1" t="s">
        <v>1489</v>
      </c>
      <c r="H27" s="1" t="s">
        <v>1490</v>
      </c>
      <c r="I27" s="2" t="s">
        <v>1468</v>
      </c>
      <c r="J27" s="2" t="s">
        <v>1468</v>
      </c>
      <c r="K27" s="1" t="s">
        <v>1469</v>
      </c>
      <c r="L27" s="2" t="s">
        <v>1468</v>
      </c>
      <c r="M27" s="2" t="s">
        <v>246</v>
      </c>
      <c r="N27" s="1" t="s">
        <v>1477</v>
      </c>
    </row>
    <row r="28" spans="1:26" ht="15.75" customHeight="1" x14ac:dyDescent="0.25">
      <c r="A28" s="2" t="s">
        <v>1495</v>
      </c>
      <c r="B28" s="2" t="s">
        <v>59</v>
      </c>
      <c r="C28" s="2" t="s">
        <v>64</v>
      </c>
      <c r="D28" s="2" t="s">
        <v>22</v>
      </c>
      <c r="E28" s="2" t="s">
        <v>1487</v>
      </c>
      <c r="F28" s="1" t="s">
        <v>1488</v>
      </c>
      <c r="G28" s="1" t="s">
        <v>1489</v>
      </c>
      <c r="H28" s="1" t="s">
        <v>1490</v>
      </c>
      <c r="I28" s="2" t="s">
        <v>1468</v>
      </c>
      <c r="J28" s="2" t="s">
        <v>1468</v>
      </c>
      <c r="K28" s="1" t="s">
        <v>1469</v>
      </c>
      <c r="L28" s="2" t="s">
        <v>1468</v>
      </c>
      <c r="M28" s="2" t="s">
        <v>246</v>
      </c>
      <c r="N28" s="1" t="s">
        <v>1477</v>
      </c>
    </row>
    <row r="29" spans="1:26" ht="15.75" customHeight="1" x14ac:dyDescent="0.25">
      <c r="A29" s="2" t="s">
        <v>1496</v>
      </c>
      <c r="B29" s="2" t="s">
        <v>59</v>
      </c>
      <c r="C29" s="2" t="s">
        <v>64</v>
      </c>
      <c r="D29" s="2" t="s">
        <v>22</v>
      </c>
      <c r="E29" s="1" t="s">
        <v>1487</v>
      </c>
      <c r="F29" s="1" t="s">
        <v>1488</v>
      </c>
      <c r="G29" s="1" t="s">
        <v>1489</v>
      </c>
      <c r="H29" s="1" t="s">
        <v>1490</v>
      </c>
      <c r="I29" s="2" t="s">
        <v>1468</v>
      </c>
      <c r="J29" s="2" t="s">
        <v>1468</v>
      </c>
      <c r="K29" s="1" t="s">
        <v>1469</v>
      </c>
      <c r="L29" s="2" t="s">
        <v>1468</v>
      </c>
      <c r="M29" s="2" t="s">
        <v>246</v>
      </c>
      <c r="N29" s="1" t="s">
        <v>1477</v>
      </c>
    </row>
    <row r="30" spans="1:26" ht="15.75" customHeight="1" x14ac:dyDescent="0.25">
      <c r="A30" s="2" t="s">
        <v>1497</v>
      </c>
      <c r="B30" s="2" t="s">
        <v>59</v>
      </c>
      <c r="C30" s="2" t="s">
        <v>64</v>
      </c>
      <c r="D30" s="2" t="s">
        <v>22</v>
      </c>
      <c r="E30" s="1" t="s">
        <v>1487</v>
      </c>
      <c r="F30" s="1" t="s">
        <v>1488</v>
      </c>
      <c r="G30" s="1" t="s">
        <v>1489</v>
      </c>
      <c r="H30" s="1" t="s">
        <v>1490</v>
      </c>
      <c r="I30" s="2" t="s">
        <v>1468</v>
      </c>
      <c r="J30" s="2" t="s">
        <v>1468</v>
      </c>
      <c r="K30" s="1" t="s">
        <v>1469</v>
      </c>
      <c r="L30" s="2" t="s">
        <v>1468</v>
      </c>
      <c r="M30" s="2" t="s">
        <v>246</v>
      </c>
      <c r="N30" s="1" t="s">
        <v>1477</v>
      </c>
    </row>
    <row r="31" spans="1:26" ht="15.75" customHeight="1" x14ac:dyDescent="0.25">
      <c r="A31" s="2" t="s">
        <v>1498</v>
      </c>
      <c r="B31" s="2" t="s">
        <v>59</v>
      </c>
      <c r="C31" s="2" t="s">
        <v>64</v>
      </c>
      <c r="D31" s="2" t="s">
        <v>22</v>
      </c>
      <c r="E31" s="1" t="s">
        <v>1487</v>
      </c>
      <c r="F31" s="1" t="s">
        <v>1488</v>
      </c>
      <c r="G31" s="1" t="s">
        <v>1489</v>
      </c>
      <c r="H31" s="1" t="s">
        <v>1490</v>
      </c>
      <c r="I31" s="2" t="s">
        <v>1468</v>
      </c>
      <c r="J31" s="2" t="s">
        <v>1468</v>
      </c>
      <c r="K31" s="1" t="s">
        <v>1469</v>
      </c>
      <c r="L31" s="2" t="s">
        <v>1468</v>
      </c>
      <c r="M31" s="2" t="s">
        <v>246</v>
      </c>
      <c r="N31" s="1" t="s">
        <v>1477</v>
      </c>
    </row>
    <row r="32" spans="1:26" ht="15.75" customHeight="1" x14ac:dyDescent="0.25">
      <c r="A32" s="2" t="s">
        <v>1499</v>
      </c>
      <c r="B32" s="2" t="s">
        <v>59</v>
      </c>
      <c r="C32" s="2" t="s">
        <v>64</v>
      </c>
      <c r="D32" s="2" t="s">
        <v>22</v>
      </c>
      <c r="E32" s="1" t="s">
        <v>1487</v>
      </c>
      <c r="F32" s="1" t="s">
        <v>1488</v>
      </c>
      <c r="G32" s="1" t="s">
        <v>1489</v>
      </c>
      <c r="H32" s="1" t="s">
        <v>1490</v>
      </c>
      <c r="I32" s="2" t="s">
        <v>1468</v>
      </c>
      <c r="J32" s="2" t="s">
        <v>1468</v>
      </c>
      <c r="K32" s="1" t="s">
        <v>1469</v>
      </c>
      <c r="L32" s="2" t="s">
        <v>1468</v>
      </c>
      <c r="M32" s="2" t="s">
        <v>246</v>
      </c>
      <c r="N32" s="1" t="s">
        <v>1477</v>
      </c>
    </row>
    <row r="33" spans="1:26" ht="15.75" customHeight="1" x14ac:dyDescent="0.25">
      <c r="A33" s="2" t="s">
        <v>1500</v>
      </c>
      <c r="B33" s="2" t="s">
        <v>59</v>
      </c>
      <c r="C33" s="2" t="s">
        <v>64</v>
      </c>
      <c r="D33" s="2" t="s">
        <v>22</v>
      </c>
      <c r="E33" s="1" t="s">
        <v>1487</v>
      </c>
      <c r="F33" s="1" t="s">
        <v>1488</v>
      </c>
      <c r="G33" s="1" t="s">
        <v>1489</v>
      </c>
      <c r="H33" s="1" t="s">
        <v>1490</v>
      </c>
      <c r="I33" s="2" t="s">
        <v>1468</v>
      </c>
      <c r="J33" s="2" t="s">
        <v>1468</v>
      </c>
      <c r="K33" s="1" t="s">
        <v>1469</v>
      </c>
      <c r="L33" s="2" t="s">
        <v>1468</v>
      </c>
      <c r="M33" s="2" t="s">
        <v>246</v>
      </c>
      <c r="N33" s="1" t="s">
        <v>1477</v>
      </c>
    </row>
    <row r="34" spans="1:26" ht="15.75" customHeight="1" x14ac:dyDescent="0.25">
      <c r="A34" s="2" t="s">
        <v>1501</v>
      </c>
      <c r="B34" s="2" t="s">
        <v>59</v>
      </c>
      <c r="C34" s="2" t="s">
        <v>64</v>
      </c>
      <c r="D34" s="2" t="s">
        <v>22</v>
      </c>
      <c r="E34" s="1" t="s">
        <v>1487</v>
      </c>
      <c r="F34" s="1" t="s">
        <v>1488</v>
      </c>
      <c r="G34" s="1" t="s">
        <v>1489</v>
      </c>
      <c r="H34" s="1" t="s">
        <v>1490</v>
      </c>
      <c r="I34" s="2" t="s">
        <v>1468</v>
      </c>
      <c r="J34" s="2" t="s">
        <v>1468</v>
      </c>
      <c r="K34" s="1" t="s">
        <v>1469</v>
      </c>
      <c r="L34" s="2" t="s">
        <v>1468</v>
      </c>
      <c r="M34" s="2" t="s">
        <v>246</v>
      </c>
      <c r="N34" s="1" t="s">
        <v>1477</v>
      </c>
    </row>
    <row r="35" spans="1:26" ht="15.75" customHeight="1" x14ac:dyDescent="0.25">
      <c r="A35" s="1" t="s">
        <v>1502</v>
      </c>
      <c r="B35" s="1" t="s">
        <v>59</v>
      </c>
      <c r="C35" s="1" t="s">
        <v>64</v>
      </c>
      <c r="D35" s="1" t="s">
        <v>22</v>
      </c>
      <c r="E35" s="1" t="s">
        <v>1487</v>
      </c>
      <c r="F35" s="1" t="s">
        <v>1488</v>
      </c>
      <c r="G35" s="1" t="s">
        <v>1489</v>
      </c>
      <c r="H35" s="1" t="s">
        <v>1490</v>
      </c>
      <c r="I35" s="1" t="s">
        <v>1468</v>
      </c>
      <c r="J35" s="1" t="s">
        <v>1468</v>
      </c>
      <c r="K35" s="1" t="s">
        <v>1469</v>
      </c>
      <c r="L35" s="1" t="s">
        <v>1468</v>
      </c>
      <c r="M35" s="1" t="s">
        <v>246</v>
      </c>
      <c r="N35" s="1" t="s">
        <v>1477</v>
      </c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25">
      <c r="A36" s="2" t="s">
        <v>1503</v>
      </c>
      <c r="B36" s="2" t="s">
        <v>59</v>
      </c>
      <c r="C36" s="2" t="s">
        <v>64</v>
      </c>
      <c r="D36" s="2" t="s">
        <v>22</v>
      </c>
      <c r="E36" s="1" t="s">
        <v>1487</v>
      </c>
      <c r="F36" s="1" t="s">
        <v>1488</v>
      </c>
      <c r="G36" s="1" t="s">
        <v>1489</v>
      </c>
      <c r="H36" s="1" t="s">
        <v>1490</v>
      </c>
      <c r="I36" s="2" t="s">
        <v>1468</v>
      </c>
      <c r="J36" s="2" t="s">
        <v>1468</v>
      </c>
      <c r="K36" s="1" t="s">
        <v>1469</v>
      </c>
      <c r="L36" s="2" t="s">
        <v>1468</v>
      </c>
      <c r="M36" s="2" t="s">
        <v>246</v>
      </c>
      <c r="N36" s="1" t="s">
        <v>1477</v>
      </c>
    </row>
    <row r="37" spans="1:26" ht="15.75" customHeight="1" x14ac:dyDescent="0.25">
      <c r="A37" s="2" t="s">
        <v>554</v>
      </c>
      <c r="B37" s="2" t="s">
        <v>59</v>
      </c>
      <c r="C37" s="2" t="s">
        <v>64</v>
      </c>
      <c r="D37" s="2" t="s">
        <v>1504</v>
      </c>
      <c r="E37" s="1" t="s">
        <v>1487</v>
      </c>
      <c r="F37" s="1" t="s">
        <v>1488</v>
      </c>
      <c r="G37" s="1" t="s">
        <v>1489</v>
      </c>
      <c r="H37" s="1" t="s">
        <v>1490</v>
      </c>
      <c r="I37" s="2" t="s">
        <v>1468</v>
      </c>
      <c r="J37" s="2" t="s">
        <v>1468</v>
      </c>
      <c r="K37" s="1" t="s">
        <v>1469</v>
      </c>
      <c r="L37" s="2" t="s">
        <v>1468</v>
      </c>
      <c r="M37" s="2" t="s">
        <v>246</v>
      </c>
      <c r="N37" s="1" t="s">
        <v>1477</v>
      </c>
    </row>
    <row r="38" spans="1:26" ht="15.75" customHeight="1" x14ac:dyDescent="0.25">
      <c r="A38" s="2" t="s">
        <v>609</v>
      </c>
      <c r="B38" s="2" t="s">
        <v>59</v>
      </c>
      <c r="C38" s="2" t="s">
        <v>64</v>
      </c>
      <c r="D38" s="2" t="s">
        <v>1505</v>
      </c>
      <c r="E38" s="1" t="s">
        <v>1487</v>
      </c>
      <c r="F38" s="1" t="s">
        <v>1488</v>
      </c>
      <c r="G38" s="1" t="s">
        <v>1489</v>
      </c>
      <c r="H38" s="1" t="s">
        <v>1490</v>
      </c>
      <c r="I38" s="2" t="s">
        <v>1468</v>
      </c>
      <c r="J38" s="2" t="s">
        <v>1468</v>
      </c>
      <c r="K38" s="1" t="s">
        <v>1469</v>
      </c>
      <c r="L38" s="2" t="s">
        <v>1468</v>
      </c>
      <c r="M38" s="1" t="s">
        <v>246</v>
      </c>
      <c r="N38" s="1" t="s">
        <v>1477</v>
      </c>
    </row>
    <row r="39" spans="1:26" ht="15.75" customHeight="1" x14ac:dyDescent="0.25">
      <c r="A39" s="2" t="s">
        <v>598</v>
      </c>
      <c r="B39" s="2" t="s">
        <v>59</v>
      </c>
      <c r="C39" s="2" t="s">
        <v>64</v>
      </c>
      <c r="D39" s="2" t="s">
        <v>1506</v>
      </c>
      <c r="E39" s="1" t="s">
        <v>1487</v>
      </c>
      <c r="F39" s="1" t="s">
        <v>1488</v>
      </c>
      <c r="G39" s="1" t="s">
        <v>1489</v>
      </c>
      <c r="H39" s="1" t="s">
        <v>1490</v>
      </c>
      <c r="I39" s="2" t="s">
        <v>1468</v>
      </c>
      <c r="J39" s="2" t="s">
        <v>1468</v>
      </c>
      <c r="K39" s="1" t="s">
        <v>1469</v>
      </c>
      <c r="L39" s="2" t="s">
        <v>1468</v>
      </c>
      <c r="M39" s="2" t="s">
        <v>246</v>
      </c>
      <c r="N39" s="1" t="s">
        <v>1477</v>
      </c>
    </row>
    <row r="40" spans="1:26" ht="15.75" customHeight="1" x14ac:dyDescent="0.25">
      <c r="A40" s="1" t="s">
        <v>895</v>
      </c>
      <c r="B40" s="1" t="s">
        <v>59</v>
      </c>
      <c r="C40" s="1" t="s">
        <v>64</v>
      </c>
      <c r="D40" s="2" t="s">
        <v>1507</v>
      </c>
      <c r="E40" s="1" t="s">
        <v>1487</v>
      </c>
      <c r="F40" s="1" t="s">
        <v>1488</v>
      </c>
      <c r="G40" s="1" t="s">
        <v>1489</v>
      </c>
      <c r="H40" s="1" t="s">
        <v>1490</v>
      </c>
      <c r="I40" s="1" t="s">
        <v>1468</v>
      </c>
      <c r="J40" s="1" t="s">
        <v>1468</v>
      </c>
      <c r="K40" s="1" t="s">
        <v>1469</v>
      </c>
      <c r="L40" s="1" t="s">
        <v>1468</v>
      </c>
      <c r="M40" s="2" t="s">
        <v>246</v>
      </c>
      <c r="N40" s="1" t="s">
        <v>1477</v>
      </c>
    </row>
    <row r="41" spans="1:26" ht="15.75" customHeight="1" x14ac:dyDescent="0.25">
      <c r="A41" s="1" t="s">
        <v>728</v>
      </c>
      <c r="B41" s="1" t="s">
        <v>17</v>
      </c>
      <c r="C41" s="1" t="s">
        <v>21</v>
      </c>
      <c r="D41" s="1" t="s">
        <v>1463</v>
      </c>
      <c r="E41" s="1" t="s">
        <v>1478</v>
      </c>
      <c r="F41" s="1" t="s">
        <v>1479</v>
      </c>
      <c r="G41" s="1" t="s">
        <v>1466</v>
      </c>
      <c r="H41" s="1" t="s">
        <v>1480</v>
      </c>
      <c r="I41" s="1" t="s">
        <v>1468</v>
      </c>
      <c r="J41" s="1" t="s">
        <v>1468</v>
      </c>
      <c r="K41" s="1" t="s">
        <v>1508</v>
      </c>
      <c r="L41" s="1" t="s">
        <v>1468</v>
      </c>
      <c r="M41" s="1" t="s">
        <v>246</v>
      </c>
      <c r="N41" s="1" t="s">
        <v>1481</v>
      </c>
    </row>
    <row r="42" spans="1:26" ht="15.75" customHeight="1" x14ac:dyDescent="0.25">
      <c r="A42" s="1" t="s">
        <v>744</v>
      </c>
      <c r="B42" s="1" t="s">
        <v>17</v>
      </c>
      <c r="C42" s="1" t="s">
        <v>21</v>
      </c>
      <c r="D42" s="1" t="s">
        <v>1463</v>
      </c>
      <c r="E42" s="1" t="s">
        <v>1478</v>
      </c>
      <c r="F42" s="1" t="s">
        <v>1479</v>
      </c>
      <c r="G42" s="1" t="s">
        <v>1466</v>
      </c>
      <c r="H42" s="1" t="s">
        <v>1480</v>
      </c>
      <c r="I42" s="1" t="s">
        <v>1468</v>
      </c>
      <c r="J42" s="1" t="s">
        <v>1468</v>
      </c>
      <c r="K42" s="1" t="s">
        <v>1508</v>
      </c>
      <c r="L42" s="1" t="s">
        <v>1468</v>
      </c>
      <c r="M42" s="1" t="s">
        <v>246</v>
      </c>
      <c r="N42" s="1" t="s">
        <v>1481</v>
      </c>
    </row>
    <row r="43" spans="1:26" ht="15.75" customHeight="1" x14ac:dyDescent="0.25">
      <c r="A43" s="1" t="s">
        <v>760</v>
      </c>
      <c r="B43" s="1" t="s">
        <v>17</v>
      </c>
      <c r="C43" s="1" t="s">
        <v>21</v>
      </c>
      <c r="D43" s="1" t="s">
        <v>1463</v>
      </c>
      <c r="E43" s="1" t="s">
        <v>1478</v>
      </c>
      <c r="F43" s="1" t="s">
        <v>1479</v>
      </c>
      <c r="G43" s="1" t="s">
        <v>1466</v>
      </c>
      <c r="H43" s="1" t="s">
        <v>1480</v>
      </c>
      <c r="I43" s="1" t="s">
        <v>1468</v>
      </c>
      <c r="J43" s="1" t="s">
        <v>1468</v>
      </c>
      <c r="K43" s="1" t="s">
        <v>1508</v>
      </c>
      <c r="L43" s="1" t="s">
        <v>1468</v>
      </c>
      <c r="M43" s="1" t="s">
        <v>246</v>
      </c>
      <c r="N43" s="1" t="s">
        <v>1481</v>
      </c>
    </row>
    <row r="44" spans="1:26" ht="15.75" customHeight="1" x14ac:dyDescent="0.25">
      <c r="A44" s="1" t="s">
        <v>776</v>
      </c>
      <c r="B44" s="1" t="s">
        <v>17</v>
      </c>
      <c r="C44" s="1" t="s">
        <v>21</v>
      </c>
      <c r="D44" s="1" t="s">
        <v>1463</v>
      </c>
      <c r="E44" s="1" t="s">
        <v>1478</v>
      </c>
      <c r="F44" s="1" t="s">
        <v>1479</v>
      </c>
      <c r="G44" s="1" t="s">
        <v>1466</v>
      </c>
      <c r="H44" s="1" t="s">
        <v>1480</v>
      </c>
      <c r="I44" s="1" t="s">
        <v>1468</v>
      </c>
      <c r="J44" s="1" t="s">
        <v>1468</v>
      </c>
      <c r="K44" s="1" t="s">
        <v>1508</v>
      </c>
      <c r="L44" s="1" t="s">
        <v>1468</v>
      </c>
      <c r="M44" s="1" t="s">
        <v>246</v>
      </c>
      <c r="N44" s="1" t="s">
        <v>1481</v>
      </c>
    </row>
    <row r="45" spans="1:26" ht="15.75" customHeight="1" x14ac:dyDescent="0.25">
      <c r="A45" s="1" t="s">
        <v>791</v>
      </c>
      <c r="B45" s="1" t="s">
        <v>17</v>
      </c>
      <c r="C45" s="1" t="s">
        <v>21</v>
      </c>
      <c r="D45" s="1" t="s">
        <v>1463</v>
      </c>
      <c r="E45" s="1" t="s">
        <v>1478</v>
      </c>
      <c r="F45" s="1" t="s">
        <v>1479</v>
      </c>
      <c r="G45" s="1" t="s">
        <v>1466</v>
      </c>
      <c r="H45" s="1" t="s">
        <v>1480</v>
      </c>
      <c r="I45" s="1" t="s">
        <v>1468</v>
      </c>
      <c r="J45" s="1" t="s">
        <v>1468</v>
      </c>
      <c r="K45" s="1" t="s">
        <v>1508</v>
      </c>
      <c r="L45" s="1" t="s">
        <v>1468</v>
      </c>
      <c r="M45" s="1" t="s">
        <v>246</v>
      </c>
      <c r="N45" s="1" t="s">
        <v>1481</v>
      </c>
    </row>
    <row r="46" spans="1:26" ht="15.75" customHeight="1" x14ac:dyDescent="0.25">
      <c r="A46" s="1" t="s">
        <v>807</v>
      </c>
      <c r="B46" s="1" t="s">
        <v>17</v>
      </c>
      <c r="C46" s="1" t="s">
        <v>21</v>
      </c>
      <c r="D46" s="1" t="s">
        <v>1463</v>
      </c>
      <c r="E46" s="1" t="s">
        <v>1478</v>
      </c>
      <c r="F46" s="1" t="s">
        <v>1479</v>
      </c>
      <c r="G46" s="1" t="s">
        <v>1466</v>
      </c>
      <c r="H46" s="1" t="s">
        <v>1480</v>
      </c>
      <c r="I46" s="1" t="s">
        <v>1468</v>
      </c>
      <c r="J46" s="1" t="s">
        <v>1468</v>
      </c>
      <c r="K46" s="1" t="s">
        <v>1508</v>
      </c>
      <c r="L46" s="1" t="s">
        <v>1468</v>
      </c>
      <c r="M46" s="1" t="s">
        <v>1450</v>
      </c>
      <c r="N46" s="1" t="s">
        <v>1481</v>
      </c>
    </row>
    <row r="47" spans="1:26" ht="15.75" customHeight="1" x14ac:dyDescent="0.25">
      <c r="A47" s="1" t="s">
        <v>827</v>
      </c>
      <c r="B47" s="1" t="s">
        <v>17</v>
      </c>
      <c r="C47" s="1" t="s">
        <v>21</v>
      </c>
      <c r="D47" s="1" t="s">
        <v>1463</v>
      </c>
      <c r="E47" s="1" t="s">
        <v>1478</v>
      </c>
      <c r="F47" s="1" t="s">
        <v>1479</v>
      </c>
      <c r="G47" s="1" t="s">
        <v>1466</v>
      </c>
      <c r="H47" s="1" t="s">
        <v>1480</v>
      </c>
      <c r="I47" s="1" t="s">
        <v>1468</v>
      </c>
      <c r="J47" s="1" t="s">
        <v>1468</v>
      </c>
      <c r="K47" s="1" t="s">
        <v>1508</v>
      </c>
      <c r="L47" s="1" t="s">
        <v>1468</v>
      </c>
      <c r="M47" s="1" t="s">
        <v>246</v>
      </c>
      <c r="N47" s="1" t="s">
        <v>1481</v>
      </c>
    </row>
    <row r="48" spans="1:26" ht="15.75" customHeight="1" x14ac:dyDescent="0.25">
      <c r="A48" s="1" t="s">
        <v>843</v>
      </c>
      <c r="B48" s="1" t="s">
        <v>59</v>
      </c>
      <c r="C48" s="1" t="s">
        <v>64</v>
      </c>
      <c r="D48" s="1" t="s">
        <v>1509</v>
      </c>
      <c r="E48" s="1" t="s">
        <v>1487</v>
      </c>
      <c r="F48" s="1" t="s">
        <v>1488</v>
      </c>
      <c r="G48" s="1" t="s">
        <v>1489</v>
      </c>
      <c r="H48" s="1" t="s">
        <v>1490</v>
      </c>
      <c r="I48" s="1" t="s">
        <v>1468</v>
      </c>
      <c r="J48" s="1" t="s">
        <v>1468</v>
      </c>
      <c r="K48" s="1" t="s">
        <v>1469</v>
      </c>
      <c r="L48" s="1" t="s">
        <v>1468</v>
      </c>
      <c r="M48" s="1" t="s">
        <v>246</v>
      </c>
      <c r="N48" s="1" t="s">
        <v>1477</v>
      </c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25">
      <c r="A49" s="1" t="s">
        <v>954</v>
      </c>
      <c r="B49" s="1" t="s">
        <v>17</v>
      </c>
      <c r="C49" s="1" t="s">
        <v>21</v>
      </c>
      <c r="D49" s="1" t="s">
        <v>1463</v>
      </c>
      <c r="E49" s="1" t="s">
        <v>1478</v>
      </c>
      <c r="F49" s="1" t="s">
        <v>1479</v>
      </c>
      <c r="G49" s="1" t="s">
        <v>1466</v>
      </c>
      <c r="H49" s="1" t="s">
        <v>1480</v>
      </c>
      <c r="I49" s="1" t="s">
        <v>1468</v>
      </c>
      <c r="J49" s="1" t="s">
        <v>1468</v>
      </c>
      <c r="K49" s="1" t="s">
        <v>1508</v>
      </c>
      <c r="L49" s="1" t="s">
        <v>1468</v>
      </c>
      <c r="M49" s="1" t="s">
        <v>1450</v>
      </c>
      <c r="N49" s="1" t="s">
        <v>1481</v>
      </c>
    </row>
    <row r="50" spans="1:26" ht="15.75" customHeight="1" x14ac:dyDescent="0.25">
      <c r="A50" s="1" t="s">
        <v>974</v>
      </c>
      <c r="B50" s="1" t="s">
        <v>17</v>
      </c>
      <c r="C50" s="1" t="s">
        <v>21</v>
      </c>
      <c r="D50" s="1" t="s">
        <v>1463</v>
      </c>
      <c r="E50" s="1" t="s">
        <v>1478</v>
      </c>
      <c r="F50" s="1" t="s">
        <v>1479</v>
      </c>
      <c r="G50" s="1" t="s">
        <v>1466</v>
      </c>
      <c r="H50" s="1" t="s">
        <v>1480</v>
      </c>
      <c r="I50" s="1" t="s">
        <v>1468</v>
      </c>
      <c r="J50" s="1" t="s">
        <v>1468</v>
      </c>
      <c r="K50" s="1" t="s">
        <v>1508</v>
      </c>
      <c r="L50" s="1" t="s">
        <v>1468</v>
      </c>
      <c r="M50" s="1" t="s">
        <v>246</v>
      </c>
      <c r="N50" s="1" t="s">
        <v>1481</v>
      </c>
    </row>
    <row r="51" spans="1:26" ht="15.75" customHeight="1" x14ac:dyDescent="0.25">
      <c r="A51" s="1" t="s">
        <v>990</v>
      </c>
      <c r="B51" s="1" t="s">
        <v>17</v>
      </c>
      <c r="C51" s="1" t="s">
        <v>21</v>
      </c>
      <c r="D51" s="1" t="s">
        <v>1463</v>
      </c>
      <c r="E51" s="1" t="s">
        <v>1478</v>
      </c>
      <c r="F51" s="1" t="s">
        <v>1479</v>
      </c>
      <c r="G51" s="1" t="s">
        <v>1466</v>
      </c>
      <c r="H51" s="1" t="s">
        <v>1480</v>
      </c>
      <c r="I51" s="1" t="s">
        <v>1468</v>
      </c>
      <c r="J51" s="1" t="s">
        <v>1468</v>
      </c>
      <c r="K51" s="1" t="s">
        <v>1508</v>
      </c>
      <c r="L51" s="1" t="s">
        <v>1468</v>
      </c>
      <c r="M51" s="1" t="s">
        <v>1450</v>
      </c>
      <c r="N51" s="1" t="s">
        <v>1481</v>
      </c>
    </row>
    <row r="52" spans="1:26" ht="15.75" customHeight="1" x14ac:dyDescent="0.25">
      <c r="A52" s="1" t="s">
        <v>1510</v>
      </c>
      <c r="B52" s="1" t="s">
        <v>17</v>
      </c>
      <c r="C52" s="1" t="s">
        <v>21</v>
      </c>
      <c r="D52" s="1" t="s">
        <v>1463</v>
      </c>
      <c r="E52" s="1" t="s">
        <v>1478</v>
      </c>
      <c r="F52" s="1" t="s">
        <v>1479</v>
      </c>
      <c r="G52" s="1" t="s">
        <v>1466</v>
      </c>
      <c r="H52" s="1" t="s">
        <v>1480</v>
      </c>
      <c r="I52" s="1" t="s">
        <v>1468</v>
      </c>
      <c r="J52" s="1" t="s">
        <v>1468</v>
      </c>
      <c r="K52" s="1" t="s">
        <v>1508</v>
      </c>
      <c r="L52" s="1" t="s">
        <v>1468</v>
      </c>
      <c r="M52" s="1" t="s">
        <v>246</v>
      </c>
      <c r="N52" s="1" t="s">
        <v>1481</v>
      </c>
    </row>
    <row r="53" spans="1:26" ht="15.75" customHeight="1" x14ac:dyDescent="0.25">
      <c r="A53" s="1" t="s">
        <v>1027</v>
      </c>
      <c r="B53" s="1" t="s">
        <v>17</v>
      </c>
      <c r="C53" s="1" t="s">
        <v>21</v>
      </c>
      <c r="D53" s="1" t="s">
        <v>1463</v>
      </c>
      <c r="E53" s="1" t="s">
        <v>1478</v>
      </c>
      <c r="F53" s="1" t="s">
        <v>1479</v>
      </c>
      <c r="G53" s="1" t="s">
        <v>1466</v>
      </c>
      <c r="H53" s="1" t="s">
        <v>1480</v>
      </c>
      <c r="I53" s="1" t="s">
        <v>1468</v>
      </c>
      <c r="J53" s="1" t="s">
        <v>1468</v>
      </c>
      <c r="K53" s="1" t="s">
        <v>1508</v>
      </c>
      <c r="L53" s="1" t="s">
        <v>1468</v>
      </c>
      <c r="M53" s="1" t="s">
        <v>1450</v>
      </c>
      <c r="N53" s="1" t="s">
        <v>1481</v>
      </c>
    </row>
    <row r="54" spans="1:26" ht="15.75" customHeight="1" x14ac:dyDescent="0.25">
      <c r="A54" s="1" t="s">
        <v>1511</v>
      </c>
      <c r="B54" s="1" t="s">
        <v>17</v>
      </c>
      <c r="C54" s="1" t="s">
        <v>21</v>
      </c>
      <c r="D54" s="1" t="s">
        <v>1463</v>
      </c>
      <c r="E54" s="1" t="s">
        <v>1478</v>
      </c>
      <c r="F54" s="1" t="s">
        <v>1479</v>
      </c>
      <c r="G54" s="1" t="s">
        <v>1466</v>
      </c>
      <c r="H54" s="1" t="s">
        <v>1480</v>
      </c>
      <c r="I54" s="1" t="s">
        <v>1468</v>
      </c>
      <c r="J54" s="1" t="s">
        <v>1468</v>
      </c>
      <c r="K54" s="1" t="s">
        <v>1508</v>
      </c>
      <c r="L54" s="1" t="s">
        <v>1468</v>
      </c>
      <c r="M54" s="1" t="s">
        <v>246</v>
      </c>
      <c r="N54" s="1" t="s">
        <v>1481</v>
      </c>
    </row>
    <row r="55" spans="1:26" ht="15.75" customHeight="1" x14ac:dyDescent="0.25">
      <c r="A55" s="1" t="s">
        <v>1512</v>
      </c>
      <c r="B55" s="1" t="s">
        <v>59</v>
      </c>
      <c r="C55" s="1" t="s">
        <v>64</v>
      </c>
      <c r="D55" s="1" t="s">
        <v>22</v>
      </c>
      <c r="E55" s="1" t="s">
        <v>1487</v>
      </c>
      <c r="F55" s="1" t="s">
        <v>1488</v>
      </c>
      <c r="G55" s="1" t="s">
        <v>1489</v>
      </c>
      <c r="H55" s="1" t="s">
        <v>1490</v>
      </c>
      <c r="I55" s="1" t="s">
        <v>1468</v>
      </c>
      <c r="J55" s="1" t="s">
        <v>1468</v>
      </c>
      <c r="K55" s="1" t="s">
        <v>1469</v>
      </c>
      <c r="L55" s="1" t="s">
        <v>1468</v>
      </c>
      <c r="M55" s="1" t="s">
        <v>246</v>
      </c>
      <c r="N55" s="1" t="s">
        <v>1477</v>
      </c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25">
      <c r="A56" s="1" t="s">
        <v>34</v>
      </c>
      <c r="B56" s="1" t="s">
        <v>17</v>
      </c>
      <c r="C56" s="1" t="s">
        <v>21</v>
      </c>
      <c r="D56" s="1" t="s">
        <v>1463</v>
      </c>
      <c r="E56" s="1" t="s">
        <v>1478</v>
      </c>
      <c r="F56" s="1" t="s">
        <v>1479</v>
      </c>
      <c r="G56" s="1" t="s">
        <v>1466</v>
      </c>
      <c r="H56" s="1" t="s">
        <v>1480</v>
      </c>
      <c r="I56" s="1" t="s">
        <v>1468</v>
      </c>
      <c r="J56" s="1" t="s">
        <v>1468</v>
      </c>
      <c r="K56" s="1" t="s">
        <v>1469</v>
      </c>
      <c r="L56" s="1" t="s">
        <v>1468</v>
      </c>
      <c r="M56" s="1" t="s">
        <v>1450</v>
      </c>
      <c r="N56" s="1" t="s">
        <v>1481</v>
      </c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25">
      <c r="A57" s="34" t="s">
        <v>1071</v>
      </c>
      <c r="B57" s="35" t="s">
        <v>1462</v>
      </c>
      <c r="C57" s="1" t="s">
        <v>102</v>
      </c>
      <c r="D57" s="35" t="s">
        <v>1463</v>
      </c>
      <c r="E57" s="1" t="s">
        <v>1464</v>
      </c>
      <c r="F57" s="33" t="s">
        <v>1465</v>
      </c>
      <c r="G57" s="35" t="s">
        <v>1466</v>
      </c>
      <c r="H57" s="35" t="s">
        <v>1513</v>
      </c>
      <c r="I57" s="35" t="s">
        <v>1468</v>
      </c>
      <c r="J57" s="35" t="s">
        <v>1468</v>
      </c>
      <c r="K57" s="35" t="s">
        <v>1469</v>
      </c>
      <c r="L57" s="35" t="s">
        <v>1468</v>
      </c>
      <c r="M57" s="35" t="s">
        <v>246</v>
      </c>
      <c r="N57" s="1" t="s">
        <v>1470</v>
      </c>
    </row>
    <row r="58" spans="1:26" ht="15.75" customHeight="1" x14ac:dyDescent="0.25">
      <c r="A58" s="1" t="s">
        <v>1270</v>
      </c>
      <c r="B58" s="1" t="s">
        <v>1462</v>
      </c>
      <c r="C58" s="1" t="s">
        <v>102</v>
      </c>
      <c r="D58" s="1" t="s">
        <v>22</v>
      </c>
      <c r="E58" s="1" t="s">
        <v>1487</v>
      </c>
      <c r="F58" s="36" t="s">
        <v>1514</v>
      </c>
      <c r="G58" s="1" t="s">
        <v>1466</v>
      </c>
      <c r="H58" s="1" t="s">
        <v>1515</v>
      </c>
      <c r="I58" s="1" t="s">
        <v>1468</v>
      </c>
      <c r="J58" s="1" t="s">
        <v>1468</v>
      </c>
      <c r="K58" s="1" t="s">
        <v>1469</v>
      </c>
      <c r="L58" s="1" t="s">
        <v>1468</v>
      </c>
      <c r="M58" s="1" t="s">
        <v>246</v>
      </c>
      <c r="N58" s="1" t="s">
        <v>1470</v>
      </c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25">
      <c r="A59" s="1" t="s">
        <v>1269</v>
      </c>
      <c r="B59" s="1" t="s">
        <v>1462</v>
      </c>
      <c r="C59" s="1" t="s">
        <v>102</v>
      </c>
      <c r="D59" s="1" t="s">
        <v>1463</v>
      </c>
      <c r="E59" s="1" t="s">
        <v>1487</v>
      </c>
      <c r="F59" s="36" t="s">
        <v>1514</v>
      </c>
      <c r="G59" s="1" t="s">
        <v>1466</v>
      </c>
      <c r="H59" s="1" t="s">
        <v>1516</v>
      </c>
      <c r="I59" s="1" t="s">
        <v>1468</v>
      </c>
      <c r="J59" s="1" t="s">
        <v>1468</v>
      </c>
      <c r="K59" s="1" t="s">
        <v>1469</v>
      </c>
      <c r="L59" s="1" t="s">
        <v>1468</v>
      </c>
      <c r="M59" s="1" t="s">
        <v>246</v>
      </c>
      <c r="N59" s="1" t="s">
        <v>1470</v>
      </c>
    </row>
    <row r="60" spans="1:26" ht="15.75" customHeight="1" x14ac:dyDescent="0.25">
      <c r="A60" s="1" t="s">
        <v>1517</v>
      </c>
      <c r="B60" s="1" t="s">
        <v>1462</v>
      </c>
      <c r="C60" s="1" t="s">
        <v>102</v>
      </c>
      <c r="D60" s="1" t="s">
        <v>22</v>
      </c>
      <c r="E60" s="1" t="s">
        <v>1487</v>
      </c>
      <c r="F60" s="36" t="s">
        <v>1514</v>
      </c>
      <c r="G60" s="1" t="s">
        <v>1466</v>
      </c>
      <c r="H60" s="1" t="s">
        <v>1515</v>
      </c>
      <c r="I60" s="1" t="s">
        <v>1468</v>
      </c>
      <c r="J60" s="1" t="s">
        <v>1468</v>
      </c>
      <c r="K60" s="1" t="s">
        <v>1469</v>
      </c>
      <c r="L60" s="1" t="s">
        <v>1468</v>
      </c>
      <c r="M60" s="1" t="s">
        <v>246</v>
      </c>
      <c r="N60" s="1" t="s">
        <v>1470</v>
      </c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25">
      <c r="A61" s="1" t="s">
        <v>1086</v>
      </c>
      <c r="B61" s="1" t="s">
        <v>1462</v>
      </c>
      <c r="C61" s="1" t="s">
        <v>102</v>
      </c>
      <c r="D61" s="1" t="s">
        <v>1463</v>
      </c>
      <c r="E61" s="1" t="s">
        <v>1487</v>
      </c>
      <c r="F61" s="36" t="s">
        <v>1514</v>
      </c>
      <c r="G61" s="1" t="s">
        <v>1466</v>
      </c>
      <c r="H61" s="1" t="s">
        <v>1516</v>
      </c>
      <c r="I61" s="1" t="s">
        <v>1468</v>
      </c>
      <c r="J61" s="1" t="s">
        <v>1468</v>
      </c>
      <c r="K61" s="1" t="s">
        <v>1469</v>
      </c>
      <c r="L61" s="1" t="s">
        <v>1468</v>
      </c>
      <c r="M61" s="1" t="s">
        <v>246</v>
      </c>
      <c r="N61" s="1" t="s">
        <v>1470</v>
      </c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25">
      <c r="A62" s="1" t="s">
        <v>1106</v>
      </c>
      <c r="B62" s="1" t="s">
        <v>39</v>
      </c>
      <c r="C62" s="1" t="s">
        <v>42</v>
      </c>
      <c r="D62" s="1" t="s">
        <v>1463</v>
      </c>
      <c r="E62" s="1" t="s">
        <v>1482</v>
      </c>
      <c r="F62" s="1" t="s">
        <v>1465</v>
      </c>
      <c r="G62" s="1" t="s">
        <v>1466</v>
      </c>
      <c r="H62" s="1" t="s">
        <v>1463</v>
      </c>
      <c r="I62" s="1" t="s">
        <v>1468</v>
      </c>
      <c r="J62" s="1" t="s">
        <v>1468</v>
      </c>
      <c r="K62" s="1" t="s">
        <v>1469</v>
      </c>
      <c r="L62" s="1" t="s">
        <v>1468</v>
      </c>
      <c r="M62" s="1" t="s">
        <v>1450</v>
      </c>
      <c r="N62" s="1" t="s">
        <v>1484</v>
      </c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25">
      <c r="A63" s="1" t="s">
        <v>1117</v>
      </c>
      <c r="B63" s="1" t="s">
        <v>17</v>
      </c>
      <c r="C63" s="1" t="s">
        <v>21</v>
      </c>
      <c r="D63" s="1" t="s">
        <v>1463</v>
      </c>
      <c r="E63" s="1" t="s">
        <v>1478</v>
      </c>
      <c r="F63" s="1" t="s">
        <v>1479</v>
      </c>
      <c r="G63" s="1" t="s">
        <v>1466</v>
      </c>
      <c r="H63" s="1" t="s">
        <v>1480</v>
      </c>
      <c r="I63" s="1" t="s">
        <v>1468</v>
      </c>
      <c r="J63" s="1" t="s">
        <v>1468</v>
      </c>
      <c r="K63" s="1" t="s">
        <v>1508</v>
      </c>
      <c r="L63" s="1" t="s">
        <v>1468</v>
      </c>
      <c r="M63" s="1" t="s">
        <v>1450</v>
      </c>
      <c r="N63" s="1" t="s">
        <v>1481</v>
      </c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5.75" customHeight="1" x14ac:dyDescent="0.25">
      <c r="A64" s="1" t="s">
        <v>1137</v>
      </c>
      <c r="B64" s="1" t="s">
        <v>17</v>
      </c>
      <c r="C64" s="1" t="s">
        <v>21</v>
      </c>
      <c r="D64" s="1" t="s">
        <v>1463</v>
      </c>
      <c r="E64" s="1" t="s">
        <v>1478</v>
      </c>
      <c r="F64" s="1" t="s">
        <v>1479</v>
      </c>
      <c r="G64" s="1" t="s">
        <v>1466</v>
      </c>
      <c r="H64" s="1" t="s">
        <v>1480</v>
      </c>
      <c r="I64" s="1" t="s">
        <v>1468</v>
      </c>
      <c r="J64" s="1" t="s">
        <v>1468</v>
      </c>
      <c r="K64" s="1" t="s">
        <v>1508</v>
      </c>
      <c r="L64" s="1" t="s">
        <v>1468</v>
      </c>
      <c r="M64" s="1" t="s">
        <v>246</v>
      </c>
      <c r="N64" s="1" t="s">
        <v>1481</v>
      </c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5.75" customHeight="1" x14ac:dyDescent="0.25">
      <c r="A65" s="1" t="s">
        <v>1265</v>
      </c>
      <c r="B65" s="1" t="s">
        <v>39</v>
      </c>
      <c r="C65" s="1" t="s">
        <v>102</v>
      </c>
      <c r="D65" s="1" t="s">
        <v>1518</v>
      </c>
      <c r="E65" s="1" t="s">
        <v>1519</v>
      </c>
      <c r="F65" s="33" t="s">
        <v>1465</v>
      </c>
      <c r="G65" s="1" t="s">
        <v>1466</v>
      </c>
      <c r="H65" s="37" t="s">
        <v>1520</v>
      </c>
      <c r="I65" s="1" t="s">
        <v>1468</v>
      </c>
      <c r="J65" s="1" t="s">
        <v>1468</v>
      </c>
      <c r="K65" s="1" t="s">
        <v>1469</v>
      </c>
      <c r="L65" s="1" t="s">
        <v>1468</v>
      </c>
      <c r="M65" s="1" t="s">
        <v>246</v>
      </c>
      <c r="N65" s="1" t="s">
        <v>1521</v>
      </c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5.75" customHeight="1" x14ac:dyDescent="0.25">
      <c r="A66" s="1" t="s">
        <v>1268</v>
      </c>
      <c r="B66" s="1" t="s">
        <v>39</v>
      </c>
      <c r="C66" s="1" t="s">
        <v>102</v>
      </c>
      <c r="D66" s="1" t="s">
        <v>1518</v>
      </c>
      <c r="E66" s="1" t="s">
        <v>1522</v>
      </c>
      <c r="F66" s="33" t="s">
        <v>1465</v>
      </c>
      <c r="G66" s="1" t="s">
        <v>1466</v>
      </c>
      <c r="H66" s="37" t="s">
        <v>1520</v>
      </c>
      <c r="I66" s="1" t="s">
        <v>1468</v>
      </c>
      <c r="J66" s="1" t="s">
        <v>1468</v>
      </c>
      <c r="K66" s="1" t="s">
        <v>1469</v>
      </c>
      <c r="L66" s="1" t="s">
        <v>1468</v>
      </c>
      <c r="M66" s="1" t="s">
        <v>246</v>
      </c>
      <c r="N66" s="1" t="s">
        <v>1521</v>
      </c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5.75" customHeight="1" x14ac:dyDescent="0.25">
      <c r="A67" s="1" t="s">
        <v>1154</v>
      </c>
      <c r="B67" s="1" t="s">
        <v>39</v>
      </c>
      <c r="C67" s="1" t="s">
        <v>42</v>
      </c>
      <c r="D67" s="1" t="s">
        <v>1463</v>
      </c>
      <c r="E67" s="1" t="s">
        <v>1482</v>
      </c>
      <c r="F67" s="1" t="s">
        <v>1465</v>
      </c>
      <c r="G67" s="1" t="s">
        <v>1466</v>
      </c>
      <c r="H67" s="1" t="s">
        <v>1463</v>
      </c>
      <c r="I67" s="1" t="s">
        <v>1468</v>
      </c>
      <c r="J67" s="1" t="s">
        <v>1468</v>
      </c>
      <c r="K67" s="1" t="s">
        <v>1469</v>
      </c>
      <c r="L67" s="1" t="s">
        <v>1468</v>
      </c>
      <c r="M67" s="1" t="s">
        <v>1450</v>
      </c>
      <c r="N67" s="1" t="s">
        <v>1484</v>
      </c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5.75" customHeight="1" x14ac:dyDescent="0.25">
      <c r="A68" s="1" t="s">
        <v>1165</v>
      </c>
      <c r="B68" s="1" t="s">
        <v>17</v>
      </c>
      <c r="C68" s="1" t="s">
        <v>21</v>
      </c>
      <c r="D68" s="1" t="s">
        <v>1463</v>
      </c>
      <c r="E68" s="1" t="s">
        <v>1478</v>
      </c>
      <c r="F68" s="1" t="s">
        <v>1479</v>
      </c>
      <c r="G68" s="1" t="s">
        <v>1466</v>
      </c>
      <c r="H68" s="1" t="s">
        <v>1480</v>
      </c>
      <c r="I68" s="1" t="s">
        <v>1468</v>
      </c>
      <c r="J68" s="1" t="s">
        <v>1468</v>
      </c>
      <c r="K68" s="1" t="s">
        <v>1508</v>
      </c>
      <c r="L68" s="1" t="s">
        <v>1468</v>
      </c>
      <c r="M68" s="1" t="s">
        <v>1450</v>
      </c>
      <c r="N68" s="1" t="s">
        <v>1481</v>
      </c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5.75" customHeight="1" x14ac:dyDescent="0.25">
      <c r="A69" s="1" t="s">
        <v>1185</v>
      </c>
      <c r="B69" s="1" t="s">
        <v>17</v>
      </c>
      <c r="C69" s="1" t="s">
        <v>21</v>
      </c>
      <c r="D69" s="1" t="s">
        <v>1463</v>
      </c>
      <c r="E69" s="1" t="s">
        <v>1478</v>
      </c>
      <c r="F69" s="1" t="s">
        <v>1479</v>
      </c>
      <c r="G69" s="1" t="s">
        <v>1466</v>
      </c>
      <c r="H69" s="1" t="s">
        <v>1480</v>
      </c>
      <c r="I69" s="1" t="s">
        <v>1468</v>
      </c>
      <c r="J69" s="1" t="s">
        <v>1468</v>
      </c>
      <c r="K69" s="1" t="s">
        <v>1508</v>
      </c>
      <c r="L69" s="1" t="s">
        <v>1468</v>
      </c>
      <c r="M69" s="1" t="s">
        <v>246</v>
      </c>
      <c r="N69" s="1" t="s">
        <v>1481</v>
      </c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5.75" customHeight="1" x14ac:dyDescent="0.25">
      <c r="A70" s="1" t="s">
        <v>1205</v>
      </c>
      <c r="B70" s="1" t="s">
        <v>17</v>
      </c>
      <c r="C70" s="1" t="s">
        <v>21</v>
      </c>
      <c r="D70" s="1" t="s">
        <v>1463</v>
      </c>
      <c r="E70" s="1" t="s">
        <v>1478</v>
      </c>
      <c r="F70" s="38" t="s">
        <v>1479</v>
      </c>
      <c r="G70" s="1" t="s">
        <v>1466</v>
      </c>
      <c r="H70" s="1" t="s">
        <v>1480</v>
      </c>
      <c r="I70" s="1" t="s">
        <v>1468</v>
      </c>
      <c r="J70" s="1" t="s">
        <v>1468</v>
      </c>
      <c r="K70" s="1" t="s">
        <v>1508</v>
      </c>
      <c r="L70" s="1" t="s">
        <v>1468</v>
      </c>
      <c r="M70" s="1" t="s">
        <v>1450</v>
      </c>
      <c r="N70" s="1" t="s">
        <v>1481</v>
      </c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5.75" customHeight="1" x14ac:dyDescent="0.25">
      <c r="A71" s="1" t="s">
        <v>1225</v>
      </c>
      <c r="B71" s="1" t="s">
        <v>17</v>
      </c>
      <c r="C71" s="1" t="s">
        <v>21</v>
      </c>
      <c r="D71" s="1" t="s">
        <v>1463</v>
      </c>
      <c r="E71" s="1" t="s">
        <v>1478</v>
      </c>
      <c r="F71" s="1" t="s">
        <v>1479</v>
      </c>
      <c r="G71" s="1" t="s">
        <v>1466</v>
      </c>
      <c r="H71" s="1" t="s">
        <v>1480</v>
      </c>
      <c r="I71" s="1" t="s">
        <v>1468</v>
      </c>
      <c r="J71" s="1" t="s">
        <v>1468</v>
      </c>
      <c r="K71" s="1" t="s">
        <v>1508</v>
      </c>
      <c r="L71" s="1" t="s">
        <v>1468</v>
      </c>
      <c r="M71" s="1" t="s">
        <v>1450</v>
      </c>
      <c r="N71" s="1" t="s">
        <v>1481</v>
      </c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5.75" customHeight="1" x14ac:dyDescent="0.25">
      <c r="A72" s="1" t="s">
        <v>1245</v>
      </c>
      <c r="B72" s="1" t="s">
        <v>17</v>
      </c>
      <c r="C72" s="1" t="s">
        <v>21</v>
      </c>
      <c r="D72" s="1" t="s">
        <v>1463</v>
      </c>
      <c r="E72" s="1" t="s">
        <v>1478</v>
      </c>
      <c r="F72" s="1" t="s">
        <v>1479</v>
      </c>
      <c r="G72" s="1" t="s">
        <v>1466</v>
      </c>
      <c r="H72" s="1" t="s">
        <v>1480</v>
      </c>
      <c r="I72" s="1" t="s">
        <v>1468</v>
      </c>
      <c r="J72" s="1" t="s">
        <v>1468</v>
      </c>
      <c r="K72" s="1" t="s">
        <v>1508</v>
      </c>
      <c r="L72" s="1" t="s">
        <v>1468</v>
      </c>
      <c r="M72" s="1" t="s">
        <v>1450</v>
      </c>
      <c r="N72" s="1" t="s">
        <v>1481</v>
      </c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5.75" customHeight="1" x14ac:dyDescent="0.25">
      <c r="A73" s="1" t="s">
        <v>1271</v>
      </c>
      <c r="B73" s="1" t="s">
        <v>17</v>
      </c>
      <c r="C73" s="1" t="s">
        <v>21</v>
      </c>
      <c r="D73" s="1" t="s">
        <v>22</v>
      </c>
      <c r="E73" s="1" t="s">
        <v>1478</v>
      </c>
      <c r="F73" s="1" t="s">
        <v>1479</v>
      </c>
      <c r="G73" s="1" t="s">
        <v>1466</v>
      </c>
      <c r="H73" s="1" t="s">
        <v>1480</v>
      </c>
      <c r="I73" s="1" t="s">
        <v>1468</v>
      </c>
      <c r="J73" s="1" t="s">
        <v>1468</v>
      </c>
      <c r="K73" s="1" t="s">
        <v>1469</v>
      </c>
      <c r="L73" s="1" t="s">
        <v>1468</v>
      </c>
      <c r="M73" s="1" t="s">
        <v>1450</v>
      </c>
      <c r="N73" s="1" t="s">
        <v>1481</v>
      </c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5.75" customHeight="1" x14ac:dyDescent="0.25">
      <c r="A74" s="1" t="s">
        <v>1290</v>
      </c>
      <c r="B74" s="1" t="s">
        <v>17</v>
      </c>
      <c r="C74" s="1" t="s">
        <v>21</v>
      </c>
      <c r="D74" s="1" t="s">
        <v>22</v>
      </c>
      <c r="E74" s="1" t="s">
        <v>1478</v>
      </c>
      <c r="F74" s="1" t="s">
        <v>1479</v>
      </c>
      <c r="G74" s="1" t="s">
        <v>1466</v>
      </c>
      <c r="H74" s="1" t="s">
        <v>1480</v>
      </c>
      <c r="I74" s="1" t="s">
        <v>1468</v>
      </c>
      <c r="J74" s="1" t="s">
        <v>1468</v>
      </c>
      <c r="K74" s="1" t="s">
        <v>1469</v>
      </c>
      <c r="L74" s="1" t="s">
        <v>1468</v>
      </c>
      <c r="M74" s="1" t="s">
        <v>1450</v>
      </c>
      <c r="N74" s="1" t="s">
        <v>1481</v>
      </c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5.75" customHeight="1" x14ac:dyDescent="0.25">
      <c r="A75" s="1" t="s">
        <v>1309</v>
      </c>
      <c r="B75" s="1" t="s">
        <v>17</v>
      </c>
      <c r="C75" s="1" t="s">
        <v>21</v>
      </c>
      <c r="D75" s="1" t="s">
        <v>22</v>
      </c>
      <c r="E75" s="1" t="s">
        <v>1478</v>
      </c>
      <c r="F75" s="1" t="s">
        <v>1479</v>
      </c>
      <c r="G75" s="1" t="s">
        <v>1466</v>
      </c>
      <c r="H75" s="1" t="s">
        <v>1480</v>
      </c>
      <c r="I75" s="1" t="s">
        <v>1468</v>
      </c>
      <c r="J75" s="1" t="s">
        <v>1468</v>
      </c>
      <c r="K75" s="1" t="s">
        <v>1469</v>
      </c>
      <c r="L75" s="1" t="s">
        <v>1468</v>
      </c>
      <c r="M75" s="1" t="s">
        <v>1450</v>
      </c>
      <c r="N75" s="1" t="s">
        <v>1481</v>
      </c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5.75" customHeight="1" x14ac:dyDescent="0.25">
      <c r="A76" s="2" t="s">
        <v>1523</v>
      </c>
      <c r="B76" s="2" t="s">
        <v>39</v>
      </c>
      <c r="C76" s="2" t="s">
        <v>102</v>
      </c>
      <c r="D76" s="2" t="s">
        <v>96</v>
      </c>
      <c r="E76" s="2" t="s">
        <v>1519</v>
      </c>
      <c r="F76" s="33" t="s">
        <v>1465</v>
      </c>
      <c r="G76" s="2" t="s">
        <v>1466</v>
      </c>
      <c r="H76" s="37" t="s">
        <v>1520</v>
      </c>
      <c r="I76" s="1" t="s">
        <v>1468</v>
      </c>
      <c r="J76" s="1" t="s">
        <v>1468</v>
      </c>
      <c r="K76" s="1" t="s">
        <v>1469</v>
      </c>
      <c r="L76" s="1" t="s">
        <v>1468</v>
      </c>
      <c r="M76" s="2" t="s">
        <v>246</v>
      </c>
      <c r="N76" s="2" t="s">
        <v>1521</v>
      </c>
    </row>
    <row r="77" spans="1:26" ht="15.75" customHeight="1" x14ac:dyDescent="0.25">
      <c r="A77" s="2" t="s">
        <v>1524</v>
      </c>
      <c r="B77" s="2" t="s">
        <v>1462</v>
      </c>
      <c r="C77" s="2" t="s">
        <v>102</v>
      </c>
      <c r="D77" s="2" t="s">
        <v>179</v>
      </c>
      <c r="E77" s="2" t="s">
        <v>1525</v>
      </c>
      <c r="F77" s="33" t="s">
        <v>1465</v>
      </c>
      <c r="G77" s="2" t="s">
        <v>1466</v>
      </c>
      <c r="H77" s="2" t="s">
        <v>284</v>
      </c>
      <c r="I77" s="1" t="s">
        <v>1468</v>
      </c>
      <c r="J77" s="1" t="s">
        <v>1468</v>
      </c>
      <c r="K77" s="1" t="s">
        <v>1469</v>
      </c>
      <c r="L77" s="1" t="s">
        <v>1468</v>
      </c>
      <c r="M77" s="2" t="s">
        <v>246</v>
      </c>
      <c r="N77" s="2" t="s">
        <v>1470</v>
      </c>
    </row>
    <row r="78" spans="1:26" ht="15.75" customHeight="1" x14ac:dyDescent="0.25">
      <c r="A78" s="1" t="s">
        <v>186</v>
      </c>
      <c r="B78" s="2" t="s">
        <v>59</v>
      </c>
      <c r="C78" s="2" t="s">
        <v>187</v>
      </c>
      <c r="D78" s="2"/>
      <c r="E78" s="2" t="s">
        <v>184</v>
      </c>
      <c r="F78" s="2" t="s">
        <v>1488</v>
      </c>
      <c r="G78" s="2" t="s">
        <v>1489</v>
      </c>
      <c r="H78" s="2" t="s">
        <v>1490</v>
      </c>
      <c r="I78" s="1" t="s">
        <v>1468</v>
      </c>
      <c r="J78" s="1" t="s">
        <v>1468</v>
      </c>
      <c r="K78" s="1" t="s">
        <v>1469</v>
      </c>
      <c r="L78" s="1" t="s">
        <v>1468</v>
      </c>
      <c r="M78" s="1" t="s">
        <v>246</v>
      </c>
      <c r="N78" s="2" t="s">
        <v>1526</v>
      </c>
    </row>
    <row r="79" spans="1:26" ht="15.75" customHeight="1" x14ac:dyDescent="0.25">
      <c r="A79" s="1" t="s">
        <v>1328</v>
      </c>
      <c r="B79" s="1" t="s">
        <v>17</v>
      </c>
      <c r="C79" s="1" t="s">
        <v>21</v>
      </c>
      <c r="D79" s="1" t="s">
        <v>22</v>
      </c>
      <c r="E79" s="1" t="s">
        <v>1478</v>
      </c>
      <c r="F79" s="1" t="s">
        <v>1479</v>
      </c>
      <c r="G79" s="1" t="s">
        <v>1466</v>
      </c>
      <c r="H79" s="1" t="s">
        <v>1480</v>
      </c>
      <c r="I79" s="1" t="s">
        <v>1468</v>
      </c>
      <c r="J79" s="1" t="s">
        <v>1468</v>
      </c>
      <c r="K79" s="1" t="s">
        <v>1469</v>
      </c>
      <c r="L79" s="1" t="s">
        <v>1468</v>
      </c>
      <c r="M79" s="1" t="s">
        <v>1450</v>
      </c>
      <c r="N79" s="1" t="s">
        <v>1481</v>
      </c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5.75" customHeight="1" x14ac:dyDescent="0.25">
      <c r="A80" s="1" t="s">
        <v>1347</v>
      </c>
      <c r="B80" s="1" t="s">
        <v>17</v>
      </c>
      <c r="C80" s="1" t="s">
        <v>21</v>
      </c>
      <c r="D80" s="1" t="s">
        <v>1463</v>
      </c>
      <c r="E80" s="1" t="s">
        <v>1478</v>
      </c>
      <c r="F80" s="1" t="s">
        <v>1479</v>
      </c>
      <c r="G80" s="1" t="s">
        <v>1466</v>
      </c>
      <c r="H80" s="1" t="s">
        <v>1480</v>
      </c>
      <c r="I80" s="1" t="s">
        <v>1468</v>
      </c>
      <c r="J80" s="1" t="s">
        <v>1468</v>
      </c>
      <c r="K80" s="1" t="s">
        <v>1508</v>
      </c>
      <c r="L80" s="1" t="s">
        <v>1468</v>
      </c>
      <c r="M80" s="1" t="s">
        <v>1450</v>
      </c>
      <c r="N80" s="1" t="s">
        <v>1481</v>
      </c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5.75" customHeight="1" x14ac:dyDescent="0.25">
      <c r="A81" s="1" t="s">
        <v>1364</v>
      </c>
      <c r="B81" s="1" t="s">
        <v>17</v>
      </c>
      <c r="C81" s="1" t="s">
        <v>21</v>
      </c>
      <c r="D81" s="1" t="s">
        <v>1463</v>
      </c>
      <c r="E81" s="1" t="s">
        <v>1478</v>
      </c>
      <c r="F81" s="1" t="s">
        <v>1479</v>
      </c>
      <c r="G81" s="1" t="s">
        <v>1466</v>
      </c>
      <c r="H81" s="1" t="s">
        <v>1480</v>
      </c>
      <c r="I81" s="1" t="s">
        <v>1468</v>
      </c>
      <c r="J81" s="1" t="s">
        <v>1468</v>
      </c>
      <c r="K81" s="1" t="s">
        <v>1508</v>
      </c>
      <c r="L81" s="1" t="s">
        <v>1468</v>
      </c>
      <c r="M81" s="1" t="s">
        <v>1450</v>
      </c>
      <c r="N81" s="1" t="s">
        <v>1481</v>
      </c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5.75" customHeight="1" x14ac:dyDescent="0.25">
      <c r="A82" s="1" t="s">
        <v>1381</v>
      </c>
      <c r="B82" s="1" t="s">
        <v>17</v>
      </c>
      <c r="C82" s="1" t="s">
        <v>21</v>
      </c>
      <c r="D82" s="1" t="s">
        <v>1463</v>
      </c>
      <c r="E82" s="1" t="s">
        <v>1478</v>
      </c>
      <c r="F82" s="1" t="s">
        <v>1479</v>
      </c>
      <c r="G82" s="1" t="s">
        <v>1466</v>
      </c>
      <c r="H82" s="1" t="s">
        <v>1480</v>
      </c>
      <c r="I82" s="1" t="s">
        <v>1468</v>
      </c>
      <c r="J82" s="1" t="s">
        <v>1468</v>
      </c>
      <c r="K82" s="1" t="s">
        <v>1508</v>
      </c>
      <c r="L82" s="1" t="s">
        <v>1468</v>
      </c>
      <c r="M82" s="1" t="s">
        <v>1450</v>
      </c>
      <c r="N82" s="1" t="s">
        <v>1481</v>
      </c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5.75" customHeight="1" x14ac:dyDescent="0.25">
      <c r="A83" s="1" t="s">
        <v>1398</v>
      </c>
      <c r="B83" s="1" t="s">
        <v>17</v>
      </c>
      <c r="C83" s="1" t="s">
        <v>21</v>
      </c>
      <c r="D83" s="1" t="s">
        <v>1463</v>
      </c>
      <c r="E83" s="1" t="s">
        <v>1478</v>
      </c>
      <c r="F83" s="1" t="s">
        <v>1479</v>
      </c>
      <c r="G83" s="1" t="s">
        <v>1466</v>
      </c>
      <c r="H83" s="1" t="s">
        <v>1480</v>
      </c>
      <c r="I83" s="1" t="s">
        <v>1468</v>
      </c>
      <c r="J83" s="1" t="s">
        <v>1468</v>
      </c>
      <c r="K83" s="1" t="s">
        <v>1508</v>
      </c>
      <c r="L83" s="1" t="s">
        <v>1468</v>
      </c>
      <c r="M83" s="1" t="s">
        <v>1450</v>
      </c>
      <c r="N83" s="1" t="s">
        <v>1481</v>
      </c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5.75" customHeight="1" x14ac:dyDescent="0.25">
      <c r="A84" s="1" t="s">
        <v>1415</v>
      </c>
      <c r="B84" s="1" t="s">
        <v>39</v>
      </c>
      <c r="C84" s="1" t="s">
        <v>42</v>
      </c>
      <c r="D84" s="1" t="s">
        <v>1463</v>
      </c>
      <c r="E84" s="1" t="s">
        <v>1482</v>
      </c>
      <c r="F84" s="1" t="s">
        <v>1465</v>
      </c>
      <c r="G84" s="1" t="s">
        <v>1466</v>
      </c>
      <c r="H84" s="1" t="s">
        <v>1463</v>
      </c>
      <c r="I84" s="1" t="s">
        <v>1468</v>
      </c>
      <c r="J84" s="1" t="s">
        <v>1468</v>
      </c>
      <c r="K84" s="1" t="s">
        <v>1469</v>
      </c>
      <c r="L84" s="1" t="s">
        <v>1468</v>
      </c>
      <c r="M84" s="1" t="s">
        <v>1450</v>
      </c>
      <c r="N84" s="1" t="s">
        <v>1484</v>
      </c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5.75" customHeight="1" x14ac:dyDescent="0.25">
      <c r="A85" s="1" t="s">
        <v>1426</v>
      </c>
      <c r="B85" s="1" t="s">
        <v>39</v>
      </c>
      <c r="C85" s="1" t="s">
        <v>42</v>
      </c>
      <c r="D85" s="1" t="s">
        <v>1474</v>
      </c>
      <c r="E85" s="1" t="s">
        <v>1482</v>
      </c>
      <c r="F85" s="1" t="s">
        <v>1465</v>
      </c>
      <c r="G85" s="1" t="s">
        <v>1466</v>
      </c>
      <c r="H85" s="1" t="s">
        <v>1483</v>
      </c>
      <c r="I85" s="1" t="s">
        <v>1468</v>
      </c>
      <c r="J85" s="1" t="s">
        <v>1468</v>
      </c>
      <c r="K85" s="1" t="s">
        <v>1469</v>
      </c>
      <c r="L85" s="1" t="s">
        <v>1468</v>
      </c>
      <c r="M85" s="1" t="s">
        <v>1450</v>
      </c>
      <c r="N85" s="1" t="s">
        <v>1484</v>
      </c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5.75" customHeight="1" x14ac:dyDescent="0.25">
      <c r="A86" s="1" t="s">
        <v>1428</v>
      </c>
      <c r="B86" s="1" t="s">
        <v>17</v>
      </c>
      <c r="C86" s="1" t="s">
        <v>21</v>
      </c>
      <c r="D86" s="1" t="s">
        <v>22</v>
      </c>
      <c r="E86" s="1" t="s">
        <v>1478</v>
      </c>
      <c r="F86" s="1" t="s">
        <v>1479</v>
      </c>
      <c r="G86" s="1" t="s">
        <v>1466</v>
      </c>
      <c r="H86" s="1" t="s">
        <v>1480</v>
      </c>
      <c r="I86" s="1" t="s">
        <v>1468</v>
      </c>
      <c r="J86" s="1" t="s">
        <v>1468</v>
      </c>
      <c r="K86" s="1" t="s">
        <v>1469</v>
      </c>
      <c r="L86" s="1" t="s">
        <v>1468</v>
      </c>
      <c r="M86" s="1" t="s">
        <v>1450</v>
      </c>
      <c r="N86" s="1" t="s">
        <v>1481</v>
      </c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5.75" customHeight="1" x14ac:dyDescent="0.25">
      <c r="A87" s="4" t="s">
        <v>1571</v>
      </c>
      <c r="B87" s="4" t="s">
        <v>17</v>
      </c>
      <c r="C87" s="4" t="s">
        <v>21</v>
      </c>
      <c r="D87" s="4" t="s">
        <v>1463</v>
      </c>
      <c r="E87" s="4" t="s">
        <v>1478</v>
      </c>
      <c r="F87" s="4" t="s">
        <v>1479</v>
      </c>
      <c r="G87" s="4" t="s">
        <v>1466</v>
      </c>
      <c r="H87" s="4" t="s">
        <v>1480</v>
      </c>
      <c r="I87" s="4" t="s">
        <v>1468</v>
      </c>
      <c r="J87" s="4" t="s">
        <v>1468</v>
      </c>
      <c r="K87" s="4" t="s">
        <v>1508</v>
      </c>
      <c r="L87" s="4" t="s">
        <v>1468</v>
      </c>
      <c r="M87" s="4" t="s">
        <v>1450</v>
      </c>
      <c r="N87" s="4" t="s">
        <v>1481</v>
      </c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x14ac:dyDescent="0.25">
      <c r="A88" s="49" t="s">
        <v>1605</v>
      </c>
      <c r="B88" s="32" t="s">
        <v>39</v>
      </c>
      <c r="C88" s="32" t="s">
        <v>42</v>
      </c>
      <c r="D88" s="32" t="s">
        <v>22</v>
      </c>
      <c r="E88" s="32" t="s">
        <v>1482</v>
      </c>
      <c r="F88" s="32" t="s">
        <v>1465</v>
      </c>
      <c r="G88" s="32" t="s">
        <v>1466</v>
      </c>
      <c r="H88" s="4" t="s">
        <v>22</v>
      </c>
      <c r="I88" s="32" t="s">
        <v>1468</v>
      </c>
      <c r="J88" s="32" t="s">
        <v>1468</v>
      </c>
      <c r="K88" s="4" t="s">
        <v>1469</v>
      </c>
      <c r="L88" s="32" t="s">
        <v>1468</v>
      </c>
      <c r="M88" s="32" t="s">
        <v>1450</v>
      </c>
      <c r="N88" s="4" t="s">
        <v>1484</v>
      </c>
    </row>
    <row r="89" spans="1:26" x14ac:dyDescent="0.25">
      <c r="A89" s="49" t="s">
        <v>1618</v>
      </c>
      <c r="B89" s="32" t="s">
        <v>39</v>
      </c>
      <c r="C89" s="32" t="s">
        <v>42</v>
      </c>
      <c r="D89" s="32" t="s">
        <v>22</v>
      </c>
      <c r="E89" s="32" t="s">
        <v>1482</v>
      </c>
      <c r="F89" s="32" t="s">
        <v>1465</v>
      </c>
      <c r="G89" s="32" t="s">
        <v>1466</v>
      </c>
      <c r="H89" s="4" t="s">
        <v>22</v>
      </c>
      <c r="I89" s="32" t="s">
        <v>1468</v>
      </c>
      <c r="J89" s="32" t="s">
        <v>1468</v>
      </c>
      <c r="K89" s="4" t="s">
        <v>1469</v>
      </c>
      <c r="L89" s="32" t="s">
        <v>1468</v>
      </c>
      <c r="M89" s="32" t="s">
        <v>1450</v>
      </c>
      <c r="N89" s="4" t="s">
        <v>1484</v>
      </c>
    </row>
    <row r="90" spans="1:26" x14ac:dyDescent="0.25">
      <c r="A90" s="49" t="s">
        <v>1592</v>
      </c>
      <c r="B90" s="32" t="s">
        <v>39</v>
      </c>
      <c r="C90" s="32" t="s">
        <v>42</v>
      </c>
      <c r="D90" s="32" t="s">
        <v>22</v>
      </c>
      <c r="E90" s="32" t="s">
        <v>1482</v>
      </c>
      <c r="F90" s="32" t="s">
        <v>1465</v>
      </c>
      <c r="G90" s="32" t="s">
        <v>1466</v>
      </c>
      <c r="H90" s="4" t="s">
        <v>22</v>
      </c>
      <c r="I90" s="32" t="s">
        <v>1468</v>
      </c>
      <c r="J90" s="32" t="s">
        <v>1468</v>
      </c>
      <c r="K90" s="4" t="s">
        <v>1469</v>
      </c>
      <c r="L90" s="32" t="s">
        <v>1468</v>
      </c>
      <c r="M90" s="32" t="s">
        <v>1450</v>
      </c>
      <c r="N90" s="4" t="s">
        <v>1484</v>
      </c>
    </row>
    <row r="91" spans="1:26" ht="15.75" customHeight="1" x14ac:dyDescent="0.25"/>
    <row r="92" spans="1:26" ht="15.75" customHeight="1" x14ac:dyDescent="0.25"/>
    <row r="93" spans="1:26" ht="15.75" customHeight="1" x14ac:dyDescent="0.25"/>
    <row r="94" spans="1:26" ht="15.75" customHeight="1" x14ac:dyDescent="0.25"/>
    <row r="95" spans="1:26" ht="15.75" customHeight="1" x14ac:dyDescent="0.25"/>
    <row r="96" spans="1:2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  <row r="993" ht="15.75" customHeight="1" x14ac:dyDescent="0.25"/>
    <row r="994" ht="15.75" customHeight="1" x14ac:dyDescent="0.25"/>
    <row r="995" ht="15.75" customHeight="1" x14ac:dyDescent="0.25"/>
    <row r="996" ht="15.75" customHeight="1" x14ac:dyDescent="0.25"/>
    <row r="997" ht="15.75" customHeight="1" x14ac:dyDescent="0.25"/>
    <row r="998" ht="15.75" customHeight="1" x14ac:dyDescent="0.25"/>
    <row r="999" ht="15.75" customHeight="1" x14ac:dyDescent="0.25"/>
    <row r="1000" ht="15.75" customHeight="1" x14ac:dyDescent="0.25"/>
  </sheetData>
  <pageMargins left="0.7" right="0.7" top="0.75" bottom="0.75" header="0" footer="0"/>
  <pageSetup orientation="portrait"/>
  <legacy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>
    <tabColor rgb="FF92D050"/>
  </sheetPr>
  <dimension ref="A1:Z1000"/>
  <sheetViews>
    <sheetView topLeftCell="A3" workbookViewId="0">
      <selection activeCell="A25" sqref="A25"/>
    </sheetView>
  </sheetViews>
  <sheetFormatPr baseColWidth="10" defaultColWidth="14.42578125" defaultRowHeight="15" customHeight="1" x14ac:dyDescent="0.25"/>
  <cols>
    <col min="1" max="1" width="16.7109375" customWidth="1"/>
    <col min="2" max="2" width="19.85546875" customWidth="1"/>
    <col min="3" max="3" width="44.7109375" customWidth="1"/>
    <col min="4" max="4" width="22.5703125" customWidth="1"/>
    <col min="5" max="5" width="103.85546875" customWidth="1"/>
    <col min="6" max="6" width="29.5703125" customWidth="1"/>
    <col min="7" max="7" width="3.140625" customWidth="1"/>
    <col min="8" max="26" width="9.140625" customWidth="1"/>
  </cols>
  <sheetData>
    <row r="1" spans="1:26" x14ac:dyDescent="0.25">
      <c r="A1" s="2" t="s">
        <v>1527</v>
      </c>
      <c r="B1" s="1" t="s">
        <v>2</v>
      </c>
      <c r="C1" s="2" t="s">
        <v>1465</v>
      </c>
      <c r="D1" s="2" t="s">
        <v>1528</v>
      </c>
      <c r="E1" s="2" t="s">
        <v>1529</v>
      </c>
      <c r="F1" s="2" t="s">
        <v>1530</v>
      </c>
    </row>
    <row r="2" spans="1:26" x14ac:dyDescent="0.25">
      <c r="A2" s="2" t="s">
        <v>42</v>
      </c>
      <c r="B2" s="1" t="s">
        <v>1474</v>
      </c>
      <c r="C2" s="2" t="s">
        <v>1531</v>
      </c>
      <c r="D2" s="2" t="s">
        <v>1532</v>
      </c>
      <c r="E2" s="39" t="s">
        <v>1533</v>
      </c>
      <c r="F2" s="2" t="s">
        <v>1534</v>
      </c>
      <c r="H2" s="32" t="s">
        <v>1535</v>
      </c>
    </row>
    <row r="3" spans="1:26" x14ac:dyDescent="0.25">
      <c r="A3" s="2" t="s">
        <v>42</v>
      </c>
      <c r="B3" s="1" t="s">
        <v>1463</v>
      </c>
      <c r="C3" s="2" t="s">
        <v>1531</v>
      </c>
      <c r="D3" s="2" t="s">
        <v>1532</v>
      </c>
      <c r="E3" s="39" t="s">
        <v>1533</v>
      </c>
      <c r="F3" s="2" t="s">
        <v>1536</v>
      </c>
      <c r="H3" s="32" t="s">
        <v>1535</v>
      </c>
    </row>
    <row r="4" spans="1:26" x14ac:dyDescent="0.25">
      <c r="A4" s="2" t="s">
        <v>42</v>
      </c>
      <c r="B4" s="39" t="s">
        <v>1485</v>
      </c>
      <c r="C4" s="2" t="s">
        <v>1531</v>
      </c>
      <c r="D4" s="2" t="s">
        <v>1532</v>
      </c>
      <c r="E4" s="39" t="s">
        <v>1533</v>
      </c>
      <c r="F4" s="2" t="s">
        <v>1536</v>
      </c>
      <c r="H4" s="32" t="s">
        <v>1535</v>
      </c>
    </row>
    <row r="5" spans="1:26" x14ac:dyDescent="0.25">
      <c r="A5" s="2" t="s">
        <v>42</v>
      </c>
      <c r="B5" s="1" t="s">
        <v>22</v>
      </c>
      <c r="C5" s="2" t="s">
        <v>1531</v>
      </c>
      <c r="D5" s="2" t="s">
        <v>1532</v>
      </c>
      <c r="E5" s="39" t="s">
        <v>1533</v>
      </c>
      <c r="F5" s="2" t="s">
        <v>1537</v>
      </c>
      <c r="H5" s="32" t="s">
        <v>1535</v>
      </c>
    </row>
    <row r="6" spans="1:26" ht="30" x14ac:dyDescent="0.25">
      <c r="A6" s="39" t="s">
        <v>42</v>
      </c>
      <c r="B6" s="39" t="s">
        <v>22</v>
      </c>
      <c r="C6" s="40" t="s">
        <v>1538</v>
      </c>
      <c r="D6" s="40" t="s">
        <v>1538</v>
      </c>
      <c r="E6" s="41" t="s">
        <v>1539</v>
      </c>
      <c r="F6" s="2" t="s">
        <v>1540</v>
      </c>
    </row>
    <row r="7" spans="1:26" x14ac:dyDescent="0.25">
      <c r="A7" s="39" t="s">
        <v>42</v>
      </c>
      <c r="B7" s="39" t="s">
        <v>1463</v>
      </c>
      <c r="C7" s="40" t="s">
        <v>1538</v>
      </c>
      <c r="D7" s="40" t="s">
        <v>1538</v>
      </c>
      <c r="E7" s="41" t="s">
        <v>1541</v>
      </c>
      <c r="F7" s="2" t="s">
        <v>1542</v>
      </c>
    </row>
    <row r="8" spans="1:26" ht="15" customHeight="1" x14ac:dyDescent="0.25">
      <c r="A8" s="39" t="s">
        <v>42</v>
      </c>
      <c r="B8" s="39" t="s">
        <v>1485</v>
      </c>
      <c r="C8" s="40" t="s">
        <v>1538</v>
      </c>
      <c r="D8" s="40" t="s">
        <v>1538</v>
      </c>
      <c r="E8" s="41" t="s">
        <v>1541</v>
      </c>
      <c r="F8" s="39" t="s">
        <v>1543</v>
      </c>
      <c r="G8" s="42"/>
      <c r="H8" s="42"/>
      <c r="I8" s="42"/>
      <c r="J8" s="42"/>
      <c r="K8" s="42"/>
      <c r="L8" s="42"/>
      <c r="M8" s="42"/>
      <c r="N8" s="42"/>
      <c r="O8" s="42"/>
      <c r="P8" s="42"/>
      <c r="Q8" s="42"/>
      <c r="R8" s="42"/>
      <c r="S8" s="42"/>
      <c r="T8" s="42"/>
      <c r="U8" s="42"/>
      <c r="V8" s="42"/>
      <c r="W8" s="42"/>
      <c r="X8" s="42"/>
      <c r="Y8" s="42"/>
      <c r="Z8" s="42"/>
    </row>
    <row r="9" spans="1:26" ht="15" customHeight="1" x14ac:dyDescent="0.25">
      <c r="A9" s="39" t="s">
        <v>42</v>
      </c>
      <c r="B9" s="39" t="s">
        <v>1474</v>
      </c>
      <c r="C9" s="40" t="s">
        <v>1538</v>
      </c>
      <c r="D9" s="40" t="s">
        <v>1538</v>
      </c>
      <c r="E9" s="41" t="s">
        <v>1544</v>
      </c>
      <c r="F9" s="39" t="s">
        <v>1543</v>
      </c>
      <c r="G9" s="42"/>
      <c r="H9" s="42"/>
      <c r="I9" s="42"/>
      <c r="J9" s="42"/>
      <c r="K9" s="42"/>
      <c r="L9" s="42"/>
      <c r="M9" s="42"/>
      <c r="N9" s="42"/>
      <c r="O9" s="42"/>
      <c r="P9" s="42"/>
      <c r="Q9" s="42"/>
      <c r="R9" s="42"/>
      <c r="S9" s="42"/>
      <c r="T9" s="42"/>
      <c r="U9" s="42"/>
      <c r="V9" s="42"/>
      <c r="W9" s="42"/>
      <c r="X9" s="42"/>
      <c r="Y9" s="42"/>
      <c r="Z9" s="42"/>
    </row>
    <row r="10" spans="1:26" ht="15" customHeight="1" x14ac:dyDescent="0.25">
      <c r="A10" s="2" t="s">
        <v>42</v>
      </c>
      <c r="B10" s="1" t="s">
        <v>22</v>
      </c>
      <c r="C10" s="2" t="s">
        <v>1545</v>
      </c>
      <c r="D10" s="2" t="s">
        <v>1482</v>
      </c>
      <c r="E10" s="1" t="s">
        <v>1546</v>
      </c>
      <c r="F10" s="2" t="s">
        <v>22</v>
      </c>
      <c r="G10" s="42"/>
      <c r="H10" s="42"/>
      <c r="I10" s="42"/>
      <c r="J10" s="42"/>
      <c r="K10" s="42"/>
      <c r="L10" s="42"/>
      <c r="M10" s="42"/>
      <c r="N10" s="42"/>
      <c r="O10" s="42"/>
      <c r="P10" s="42"/>
      <c r="Q10" s="42"/>
      <c r="R10" s="42"/>
      <c r="S10" s="42"/>
      <c r="T10" s="42"/>
      <c r="U10" s="42"/>
      <c r="V10" s="42"/>
      <c r="W10" s="42"/>
      <c r="X10" s="42"/>
      <c r="Y10" s="42"/>
      <c r="Z10" s="42"/>
    </row>
    <row r="11" spans="1:26" ht="15" customHeight="1" x14ac:dyDescent="0.25">
      <c r="A11" s="2" t="s">
        <v>42</v>
      </c>
      <c r="B11" s="1" t="s">
        <v>1463</v>
      </c>
      <c r="C11" s="2" t="s">
        <v>1545</v>
      </c>
      <c r="D11" s="2" t="s">
        <v>1482</v>
      </c>
      <c r="E11" s="1" t="s">
        <v>1546</v>
      </c>
      <c r="F11" s="2" t="s">
        <v>1463</v>
      </c>
      <c r="G11" s="42"/>
      <c r="H11" s="42"/>
      <c r="I11" s="42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  <c r="U11" s="42"/>
      <c r="V11" s="42"/>
      <c r="W11" s="42"/>
      <c r="X11" s="42"/>
      <c r="Y11" s="42"/>
      <c r="Z11" s="42"/>
    </row>
    <row r="12" spans="1:26" x14ac:dyDescent="0.25">
      <c r="A12" s="43" t="s">
        <v>21</v>
      </c>
      <c r="B12" s="43"/>
      <c r="C12" s="43" t="s">
        <v>1547</v>
      </c>
      <c r="D12" s="43" t="s">
        <v>1548</v>
      </c>
      <c r="E12" s="43" t="s">
        <v>1549</v>
      </c>
      <c r="F12" s="39" t="s">
        <v>1550</v>
      </c>
      <c r="G12" s="44"/>
      <c r="H12" s="44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  <c r="V12" s="44"/>
      <c r="W12" s="44"/>
      <c r="X12" s="44"/>
      <c r="Y12" s="44"/>
      <c r="Z12" s="44"/>
    </row>
    <row r="13" spans="1:26" x14ac:dyDescent="0.25">
      <c r="A13" s="2" t="s">
        <v>64</v>
      </c>
      <c r="B13" s="1" t="s">
        <v>1504</v>
      </c>
      <c r="C13" s="43" t="s">
        <v>563</v>
      </c>
      <c r="D13" s="43" t="s">
        <v>1551</v>
      </c>
      <c r="E13" s="39" t="s">
        <v>1552</v>
      </c>
      <c r="F13" s="39" t="s">
        <v>1553</v>
      </c>
      <c r="G13" s="44"/>
      <c r="H13" s="44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  <c r="V13" s="44"/>
      <c r="W13" s="44"/>
      <c r="X13" s="44"/>
      <c r="Y13" s="44"/>
      <c r="Z13" s="44"/>
    </row>
    <row r="14" spans="1:26" x14ac:dyDescent="0.25">
      <c r="A14" s="2" t="s">
        <v>64</v>
      </c>
      <c r="B14" s="1" t="s">
        <v>1504</v>
      </c>
      <c r="C14" s="43" t="s">
        <v>567</v>
      </c>
      <c r="D14" s="43" t="s">
        <v>1551</v>
      </c>
      <c r="E14" s="39" t="s">
        <v>1552</v>
      </c>
      <c r="F14" s="39" t="s">
        <v>1553</v>
      </c>
    </row>
    <row r="15" spans="1:26" x14ac:dyDescent="0.25">
      <c r="A15" s="2" t="s">
        <v>64</v>
      </c>
      <c r="B15" s="1" t="s">
        <v>1504</v>
      </c>
      <c r="C15" s="43" t="s">
        <v>1554</v>
      </c>
      <c r="D15" s="43" t="s">
        <v>1551</v>
      </c>
      <c r="E15" s="39" t="s">
        <v>1555</v>
      </c>
      <c r="F15" s="39" t="s">
        <v>1553</v>
      </c>
      <c r="G15" s="42"/>
      <c r="H15" s="42"/>
      <c r="I15" s="42"/>
      <c r="J15" s="42"/>
      <c r="K15" s="42"/>
      <c r="L15" s="42"/>
      <c r="M15" s="42"/>
      <c r="N15" s="42"/>
      <c r="O15" s="42"/>
      <c r="P15" s="42"/>
      <c r="Q15" s="42"/>
      <c r="R15" s="42"/>
      <c r="S15" s="42"/>
      <c r="T15" s="42"/>
      <c r="U15" s="42"/>
      <c r="V15" s="42"/>
      <c r="W15" s="42"/>
      <c r="X15" s="42"/>
      <c r="Y15" s="42"/>
      <c r="Z15" s="42"/>
    </row>
    <row r="16" spans="1:26" x14ac:dyDescent="0.25">
      <c r="A16" s="2" t="s">
        <v>64</v>
      </c>
      <c r="B16" s="1" t="s">
        <v>1504</v>
      </c>
      <c r="C16" s="43" t="s">
        <v>570</v>
      </c>
      <c r="D16" s="43" t="s">
        <v>1551</v>
      </c>
      <c r="E16" s="39" t="s">
        <v>1555</v>
      </c>
      <c r="F16" s="39" t="s">
        <v>1553</v>
      </c>
    </row>
    <row r="17" spans="1:26" x14ac:dyDescent="0.25">
      <c r="A17" s="2" t="s">
        <v>64</v>
      </c>
      <c r="B17" s="1" t="s">
        <v>1504</v>
      </c>
      <c r="C17" s="43" t="s">
        <v>585</v>
      </c>
      <c r="D17" s="43" t="s">
        <v>1551</v>
      </c>
      <c r="E17" s="39" t="s">
        <v>601</v>
      </c>
      <c r="F17" s="39" t="s">
        <v>1553</v>
      </c>
    </row>
    <row r="18" spans="1:26" x14ac:dyDescent="0.25">
      <c r="A18" s="2" t="s">
        <v>64</v>
      </c>
      <c r="B18" s="1" t="s">
        <v>1504</v>
      </c>
      <c r="C18" s="43" t="s">
        <v>595</v>
      </c>
      <c r="D18" s="43" t="s">
        <v>1551</v>
      </c>
      <c r="E18" s="39" t="s">
        <v>601</v>
      </c>
      <c r="F18" s="39" t="s">
        <v>1553</v>
      </c>
    </row>
    <row r="19" spans="1:26" x14ac:dyDescent="0.25">
      <c r="A19" s="2" t="s">
        <v>64</v>
      </c>
      <c r="B19" s="1" t="s">
        <v>1504</v>
      </c>
      <c r="C19" s="43" t="s">
        <v>1556</v>
      </c>
      <c r="D19" s="43" t="s">
        <v>1551</v>
      </c>
      <c r="E19" s="39" t="s">
        <v>1557</v>
      </c>
      <c r="F19" s="39" t="s">
        <v>1553</v>
      </c>
    </row>
    <row r="20" spans="1:26" x14ac:dyDescent="0.25">
      <c r="A20" s="2" t="s">
        <v>64</v>
      </c>
      <c r="B20" s="1" t="s">
        <v>1504</v>
      </c>
      <c r="C20" s="43" t="s">
        <v>1558</v>
      </c>
      <c r="D20" s="43" t="s">
        <v>1551</v>
      </c>
      <c r="E20" s="39" t="s">
        <v>1557</v>
      </c>
      <c r="F20" s="39" t="s">
        <v>1553</v>
      </c>
    </row>
    <row r="21" spans="1:26" ht="15.75" customHeight="1" x14ac:dyDescent="0.25">
      <c r="A21" s="2" t="s">
        <v>64</v>
      </c>
      <c r="B21" s="1" t="s">
        <v>1504</v>
      </c>
      <c r="C21" s="43" t="s">
        <v>1559</v>
      </c>
      <c r="D21" s="43" t="s">
        <v>1551</v>
      </c>
      <c r="E21" s="39" t="s">
        <v>1560</v>
      </c>
      <c r="F21" s="39" t="s">
        <v>1553</v>
      </c>
    </row>
    <row r="22" spans="1:26" ht="15.75" customHeight="1" x14ac:dyDescent="0.25">
      <c r="A22" s="2" t="s">
        <v>64</v>
      </c>
      <c r="B22" s="1" t="s">
        <v>1504</v>
      </c>
      <c r="C22" s="43" t="s">
        <v>590</v>
      </c>
      <c r="D22" s="43" t="s">
        <v>1551</v>
      </c>
      <c r="E22" s="39" t="s">
        <v>1560</v>
      </c>
      <c r="F22" s="39" t="s">
        <v>1553</v>
      </c>
    </row>
    <row r="23" spans="1:26" ht="15.75" customHeight="1" x14ac:dyDescent="0.25">
      <c r="A23" s="2" t="s">
        <v>64</v>
      </c>
      <c r="B23" s="1" t="s">
        <v>1504</v>
      </c>
      <c r="C23" s="2" t="s">
        <v>1561</v>
      </c>
      <c r="D23" s="43" t="s">
        <v>1551</v>
      </c>
      <c r="E23" s="39" t="s">
        <v>1562</v>
      </c>
      <c r="F23" s="2" t="s">
        <v>1563</v>
      </c>
    </row>
    <row r="24" spans="1:26" ht="15.75" customHeight="1" x14ac:dyDescent="0.25">
      <c r="A24" s="43" t="s">
        <v>64</v>
      </c>
      <c r="B24" s="43" t="s">
        <v>1505</v>
      </c>
      <c r="C24" s="43" t="s">
        <v>1564</v>
      </c>
      <c r="D24" s="43" t="s">
        <v>1565</v>
      </c>
      <c r="E24" s="39" t="s">
        <v>1562</v>
      </c>
      <c r="F24" s="1" t="s">
        <v>1563</v>
      </c>
      <c r="G24" s="44"/>
      <c r="H24" s="44"/>
      <c r="I24" s="44"/>
      <c r="J24" s="44"/>
      <c r="K24" s="44"/>
      <c r="L24" s="44"/>
      <c r="M24" s="44"/>
      <c r="N24" s="44"/>
      <c r="O24" s="44"/>
      <c r="P24" s="44"/>
      <c r="Q24" s="44"/>
      <c r="R24" s="44"/>
      <c r="S24" s="44"/>
      <c r="T24" s="44"/>
      <c r="U24" s="44"/>
      <c r="V24" s="44"/>
      <c r="W24" s="44"/>
      <c r="X24" s="44"/>
      <c r="Y24" s="44"/>
      <c r="Z24" s="44"/>
    </row>
    <row r="25" spans="1:26" ht="15.75" customHeight="1" x14ac:dyDescent="0.25">
      <c r="A25" s="2" t="s">
        <v>64</v>
      </c>
      <c r="B25" s="1" t="s">
        <v>1506</v>
      </c>
      <c r="C25" s="1" t="s">
        <v>353</v>
      </c>
      <c r="D25" s="2" t="s">
        <v>1566</v>
      </c>
      <c r="E25" s="39" t="s">
        <v>1567</v>
      </c>
      <c r="F25" s="2" t="s">
        <v>1563</v>
      </c>
    </row>
    <row r="26" spans="1:26" ht="15.75" customHeight="1" x14ac:dyDescent="0.25">
      <c r="B26" s="4"/>
    </row>
    <row r="27" spans="1:26" ht="15.75" customHeight="1" x14ac:dyDescent="0.25">
      <c r="B27" s="4"/>
    </row>
    <row r="28" spans="1:26" ht="15.75" customHeight="1" x14ac:dyDescent="0.25">
      <c r="B28" s="4"/>
    </row>
    <row r="29" spans="1:26" ht="15.75" customHeight="1" x14ac:dyDescent="0.25">
      <c r="B29" s="4"/>
    </row>
    <row r="30" spans="1:26" ht="15.75" customHeight="1" x14ac:dyDescent="0.25">
      <c r="B30" s="4"/>
    </row>
    <row r="31" spans="1:26" ht="15.75" customHeight="1" x14ac:dyDescent="0.25">
      <c r="B31" s="4"/>
    </row>
    <row r="32" spans="1:26" ht="15.75" customHeight="1" x14ac:dyDescent="0.25">
      <c r="B32" s="4"/>
    </row>
    <row r="33" spans="2:2" ht="15.75" customHeight="1" x14ac:dyDescent="0.25">
      <c r="B33" s="4"/>
    </row>
    <row r="34" spans="2:2" ht="15.75" customHeight="1" x14ac:dyDescent="0.25">
      <c r="B34" s="4"/>
    </row>
    <row r="35" spans="2:2" ht="15.75" customHeight="1" x14ac:dyDescent="0.25">
      <c r="B35" s="4"/>
    </row>
    <row r="36" spans="2:2" ht="15.75" customHeight="1" x14ac:dyDescent="0.25">
      <c r="B36" s="4"/>
    </row>
    <row r="37" spans="2:2" ht="15.75" customHeight="1" x14ac:dyDescent="0.25">
      <c r="B37" s="4"/>
    </row>
    <row r="38" spans="2:2" ht="15.75" customHeight="1" x14ac:dyDescent="0.25">
      <c r="B38" s="4"/>
    </row>
    <row r="39" spans="2:2" ht="15.75" customHeight="1" x14ac:dyDescent="0.25">
      <c r="B39" s="4"/>
    </row>
    <row r="40" spans="2:2" ht="15.75" customHeight="1" x14ac:dyDescent="0.25">
      <c r="B40" s="4"/>
    </row>
    <row r="41" spans="2:2" ht="15.75" customHeight="1" x14ac:dyDescent="0.25">
      <c r="B41" s="4"/>
    </row>
    <row r="42" spans="2:2" ht="15.75" customHeight="1" x14ac:dyDescent="0.25">
      <c r="B42" s="4"/>
    </row>
    <row r="43" spans="2:2" ht="15.75" customHeight="1" x14ac:dyDescent="0.25">
      <c r="B43" s="4"/>
    </row>
    <row r="44" spans="2:2" ht="15.75" customHeight="1" x14ac:dyDescent="0.25">
      <c r="B44" s="4"/>
    </row>
    <row r="45" spans="2:2" ht="15.75" customHeight="1" x14ac:dyDescent="0.25">
      <c r="B45" s="4"/>
    </row>
    <row r="46" spans="2:2" ht="15.75" customHeight="1" x14ac:dyDescent="0.25">
      <c r="B46" s="4"/>
    </row>
    <row r="47" spans="2:2" ht="15.75" customHeight="1" x14ac:dyDescent="0.25">
      <c r="B47" s="4"/>
    </row>
    <row r="48" spans="2:2" ht="15.75" customHeight="1" x14ac:dyDescent="0.25">
      <c r="B48" s="4"/>
    </row>
    <row r="49" spans="2:2" ht="15.75" customHeight="1" x14ac:dyDescent="0.25">
      <c r="B49" s="4"/>
    </row>
    <row r="50" spans="2:2" ht="15.75" customHeight="1" x14ac:dyDescent="0.25">
      <c r="B50" s="4"/>
    </row>
    <row r="51" spans="2:2" ht="15.75" customHeight="1" x14ac:dyDescent="0.25">
      <c r="B51" s="4"/>
    </row>
    <row r="52" spans="2:2" ht="15.75" customHeight="1" x14ac:dyDescent="0.25">
      <c r="B52" s="4"/>
    </row>
    <row r="53" spans="2:2" ht="15.75" customHeight="1" x14ac:dyDescent="0.25">
      <c r="B53" s="4"/>
    </row>
    <row r="54" spans="2:2" ht="15.75" customHeight="1" x14ac:dyDescent="0.25">
      <c r="B54" s="4"/>
    </row>
    <row r="55" spans="2:2" ht="15.75" customHeight="1" x14ac:dyDescent="0.25">
      <c r="B55" s="4"/>
    </row>
    <row r="56" spans="2:2" ht="15.75" customHeight="1" x14ac:dyDescent="0.25">
      <c r="B56" s="4"/>
    </row>
    <row r="57" spans="2:2" ht="15.75" customHeight="1" x14ac:dyDescent="0.25">
      <c r="B57" s="4"/>
    </row>
    <row r="58" spans="2:2" ht="15.75" customHeight="1" x14ac:dyDescent="0.25">
      <c r="B58" s="4"/>
    </row>
    <row r="59" spans="2:2" ht="15.75" customHeight="1" x14ac:dyDescent="0.25">
      <c r="B59" s="4"/>
    </row>
    <row r="60" spans="2:2" ht="15.75" customHeight="1" x14ac:dyDescent="0.25">
      <c r="B60" s="4"/>
    </row>
    <row r="61" spans="2:2" ht="15.75" customHeight="1" x14ac:dyDescent="0.25">
      <c r="B61" s="4"/>
    </row>
    <row r="62" spans="2:2" ht="15.75" customHeight="1" x14ac:dyDescent="0.25">
      <c r="B62" s="4"/>
    </row>
    <row r="63" spans="2:2" ht="15.75" customHeight="1" x14ac:dyDescent="0.25">
      <c r="B63" s="4"/>
    </row>
    <row r="64" spans="2:2" ht="15.75" customHeight="1" x14ac:dyDescent="0.25">
      <c r="B64" s="4"/>
    </row>
    <row r="65" spans="2:2" ht="15.75" customHeight="1" x14ac:dyDescent="0.25">
      <c r="B65" s="4"/>
    </row>
    <row r="66" spans="2:2" ht="15.75" customHeight="1" x14ac:dyDescent="0.25">
      <c r="B66" s="4"/>
    </row>
    <row r="67" spans="2:2" ht="15.75" customHeight="1" x14ac:dyDescent="0.25">
      <c r="B67" s="4"/>
    </row>
    <row r="68" spans="2:2" ht="15.75" customHeight="1" x14ac:dyDescent="0.25">
      <c r="B68" s="4"/>
    </row>
    <row r="69" spans="2:2" ht="15.75" customHeight="1" x14ac:dyDescent="0.25">
      <c r="B69" s="4"/>
    </row>
    <row r="70" spans="2:2" ht="15.75" customHeight="1" x14ac:dyDescent="0.25">
      <c r="B70" s="4"/>
    </row>
    <row r="71" spans="2:2" ht="15.75" customHeight="1" x14ac:dyDescent="0.25">
      <c r="B71" s="4"/>
    </row>
    <row r="72" spans="2:2" ht="15.75" customHeight="1" x14ac:dyDescent="0.25">
      <c r="B72" s="4"/>
    </row>
    <row r="73" spans="2:2" ht="15.75" customHeight="1" x14ac:dyDescent="0.25">
      <c r="B73" s="4"/>
    </row>
    <row r="74" spans="2:2" ht="15.75" customHeight="1" x14ac:dyDescent="0.25">
      <c r="B74" s="4"/>
    </row>
    <row r="75" spans="2:2" ht="15.75" customHeight="1" x14ac:dyDescent="0.25">
      <c r="B75" s="4"/>
    </row>
    <row r="76" spans="2:2" ht="15.75" customHeight="1" x14ac:dyDescent="0.25">
      <c r="B76" s="4"/>
    </row>
    <row r="77" spans="2:2" ht="15.75" customHeight="1" x14ac:dyDescent="0.25">
      <c r="B77" s="4"/>
    </row>
    <row r="78" spans="2:2" ht="15.75" customHeight="1" x14ac:dyDescent="0.25">
      <c r="B78" s="4"/>
    </row>
    <row r="79" spans="2:2" ht="15.75" customHeight="1" x14ac:dyDescent="0.25">
      <c r="B79" s="4"/>
    </row>
    <row r="80" spans="2:2" ht="15.75" customHeight="1" x14ac:dyDescent="0.25">
      <c r="B80" s="4"/>
    </row>
    <row r="81" spans="2:2" ht="15.75" customHeight="1" x14ac:dyDescent="0.25">
      <c r="B81" s="4"/>
    </row>
    <row r="82" spans="2:2" ht="15.75" customHeight="1" x14ac:dyDescent="0.25">
      <c r="B82" s="4"/>
    </row>
    <row r="83" spans="2:2" ht="15.75" customHeight="1" x14ac:dyDescent="0.25">
      <c r="B83" s="4"/>
    </row>
    <row r="84" spans="2:2" ht="15.75" customHeight="1" x14ac:dyDescent="0.25">
      <c r="B84" s="4"/>
    </row>
    <row r="85" spans="2:2" ht="15.75" customHeight="1" x14ac:dyDescent="0.25">
      <c r="B85" s="4"/>
    </row>
    <row r="86" spans="2:2" ht="15.75" customHeight="1" x14ac:dyDescent="0.25">
      <c r="B86" s="4"/>
    </row>
    <row r="87" spans="2:2" ht="15.75" customHeight="1" x14ac:dyDescent="0.25">
      <c r="B87" s="4"/>
    </row>
    <row r="88" spans="2:2" ht="15.75" customHeight="1" x14ac:dyDescent="0.25">
      <c r="B88" s="4"/>
    </row>
    <row r="89" spans="2:2" ht="15.75" customHeight="1" x14ac:dyDescent="0.25">
      <c r="B89" s="4"/>
    </row>
    <row r="90" spans="2:2" ht="15.75" customHeight="1" x14ac:dyDescent="0.25">
      <c r="B90" s="4"/>
    </row>
    <row r="91" spans="2:2" ht="15.75" customHeight="1" x14ac:dyDescent="0.25">
      <c r="B91" s="4"/>
    </row>
    <row r="92" spans="2:2" ht="15.75" customHeight="1" x14ac:dyDescent="0.25">
      <c r="B92" s="4"/>
    </row>
    <row r="93" spans="2:2" ht="15.75" customHeight="1" x14ac:dyDescent="0.25">
      <c r="B93" s="4"/>
    </row>
    <row r="94" spans="2:2" ht="15.75" customHeight="1" x14ac:dyDescent="0.25">
      <c r="B94" s="4"/>
    </row>
    <row r="95" spans="2:2" ht="15.75" customHeight="1" x14ac:dyDescent="0.25">
      <c r="B95" s="4"/>
    </row>
    <row r="96" spans="2:2" ht="15.75" customHeight="1" x14ac:dyDescent="0.25">
      <c r="B96" s="4"/>
    </row>
    <row r="97" spans="2:2" ht="15.75" customHeight="1" x14ac:dyDescent="0.25">
      <c r="B97" s="4"/>
    </row>
    <row r="98" spans="2:2" ht="15.75" customHeight="1" x14ac:dyDescent="0.25">
      <c r="B98" s="4"/>
    </row>
    <row r="99" spans="2:2" ht="15.75" customHeight="1" x14ac:dyDescent="0.25">
      <c r="B99" s="4"/>
    </row>
    <row r="100" spans="2:2" ht="15.75" customHeight="1" x14ac:dyDescent="0.25">
      <c r="B100" s="4"/>
    </row>
    <row r="101" spans="2:2" ht="15.75" customHeight="1" x14ac:dyDescent="0.25">
      <c r="B101" s="4"/>
    </row>
    <row r="102" spans="2:2" ht="15.75" customHeight="1" x14ac:dyDescent="0.25">
      <c r="B102" s="4"/>
    </row>
    <row r="103" spans="2:2" ht="15.75" customHeight="1" x14ac:dyDescent="0.25">
      <c r="B103" s="4"/>
    </row>
    <row r="104" spans="2:2" ht="15.75" customHeight="1" x14ac:dyDescent="0.25">
      <c r="B104" s="4"/>
    </row>
    <row r="105" spans="2:2" ht="15.75" customHeight="1" x14ac:dyDescent="0.25">
      <c r="B105" s="4"/>
    </row>
    <row r="106" spans="2:2" ht="15.75" customHeight="1" x14ac:dyDescent="0.25">
      <c r="B106" s="4"/>
    </row>
    <row r="107" spans="2:2" ht="15.75" customHeight="1" x14ac:dyDescent="0.25">
      <c r="B107" s="4"/>
    </row>
    <row r="108" spans="2:2" ht="15.75" customHeight="1" x14ac:dyDescent="0.25">
      <c r="B108" s="4"/>
    </row>
    <row r="109" spans="2:2" ht="15.75" customHeight="1" x14ac:dyDescent="0.25">
      <c r="B109" s="4"/>
    </row>
    <row r="110" spans="2:2" ht="15.75" customHeight="1" x14ac:dyDescent="0.25">
      <c r="B110" s="4"/>
    </row>
    <row r="111" spans="2:2" ht="15.75" customHeight="1" x14ac:dyDescent="0.25">
      <c r="B111" s="4"/>
    </row>
    <row r="112" spans="2:2" ht="15.75" customHeight="1" x14ac:dyDescent="0.25">
      <c r="B112" s="4"/>
    </row>
    <row r="113" spans="2:2" ht="15.75" customHeight="1" x14ac:dyDescent="0.25">
      <c r="B113" s="4"/>
    </row>
    <row r="114" spans="2:2" ht="15.75" customHeight="1" x14ac:dyDescent="0.25">
      <c r="B114" s="4"/>
    </row>
    <row r="115" spans="2:2" ht="15.75" customHeight="1" x14ac:dyDescent="0.25">
      <c r="B115" s="4"/>
    </row>
    <row r="116" spans="2:2" ht="15.75" customHeight="1" x14ac:dyDescent="0.25">
      <c r="B116" s="4"/>
    </row>
    <row r="117" spans="2:2" ht="15.75" customHeight="1" x14ac:dyDescent="0.25">
      <c r="B117" s="4"/>
    </row>
    <row r="118" spans="2:2" ht="15.75" customHeight="1" x14ac:dyDescent="0.25">
      <c r="B118" s="4"/>
    </row>
    <row r="119" spans="2:2" ht="15.75" customHeight="1" x14ac:dyDescent="0.25">
      <c r="B119" s="4"/>
    </row>
    <row r="120" spans="2:2" ht="15.75" customHeight="1" x14ac:dyDescent="0.25">
      <c r="B120" s="4"/>
    </row>
    <row r="121" spans="2:2" ht="15.75" customHeight="1" x14ac:dyDescent="0.25">
      <c r="B121" s="4"/>
    </row>
    <row r="122" spans="2:2" ht="15.75" customHeight="1" x14ac:dyDescent="0.25">
      <c r="B122" s="4"/>
    </row>
    <row r="123" spans="2:2" ht="15.75" customHeight="1" x14ac:dyDescent="0.25">
      <c r="B123" s="4"/>
    </row>
    <row r="124" spans="2:2" ht="15.75" customHeight="1" x14ac:dyDescent="0.25">
      <c r="B124" s="4"/>
    </row>
    <row r="125" spans="2:2" ht="15.75" customHeight="1" x14ac:dyDescent="0.25">
      <c r="B125" s="4"/>
    </row>
    <row r="126" spans="2:2" ht="15.75" customHeight="1" x14ac:dyDescent="0.25">
      <c r="B126" s="4"/>
    </row>
    <row r="127" spans="2:2" ht="15.75" customHeight="1" x14ac:dyDescent="0.25">
      <c r="B127" s="4"/>
    </row>
    <row r="128" spans="2:2" ht="15.75" customHeight="1" x14ac:dyDescent="0.25">
      <c r="B128" s="4"/>
    </row>
    <row r="129" spans="2:2" ht="15.75" customHeight="1" x14ac:dyDescent="0.25">
      <c r="B129" s="4"/>
    </row>
    <row r="130" spans="2:2" ht="15.75" customHeight="1" x14ac:dyDescent="0.25">
      <c r="B130" s="4"/>
    </row>
    <row r="131" spans="2:2" ht="15.75" customHeight="1" x14ac:dyDescent="0.25">
      <c r="B131" s="4"/>
    </row>
    <row r="132" spans="2:2" ht="15.75" customHeight="1" x14ac:dyDescent="0.25">
      <c r="B132" s="4"/>
    </row>
    <row r="133" spans="2:2" ht="15.75" customHeight="1" x14ac:dyDescent="0.25">
      <c r="B133" s="4"/>
    </row>
    <row r="134" spans="2:2" ht="15.75" customHeight="1" x14ac:dyDescent="0.25">
      <c r="B134" s="4"/>
    </row>
    <row r="135" spans="2:2" ht="15.75" customHeight="1" x14ac:dyDescent="0.25">
      <c r="B135" s="4"/>
    </row>
    <row r="136" spans="2:2" ht="15.75" customHeight="1" x14ac:dyDescent="0.25">
      <c r="B136" s="4"/>
    </row>
    <row r="137" spans="2:2" ht="15.75" customHeight="1" x14ac:dyDescent="0.25">
      <c r="B137" s="4"/>
    </row>
    <row r="138" spans="2:2" ht="15.75" customHeight="1" x14ac:dyDescent="0.25">
      <c r="B138" s="4"/>
    </row>
    <row r="139" spans="2:2" ht="15.75" customHeight="1" x14ac:dyDescent="0.25">
      <c r="B139" s="4"/>
    </row>
    <row r="140" spans="2:2" ht="15.75" customHeight="1" x14ac:dyDescent="0.25">
      <c r="B140" s="4"/>
    </row>
    <row r="141" spans="2:2" ht="15.75" customHeight="1" x14ac:dyDescent="0.25">
      <c r="B141" s="4"/>
    </row>
    <row r="142" spans="2:2" ht="15.75" customHeight="1" x14ac:dyDescent="0.25">
      <c r="B142" s="4"/>
    </row>
    <row r="143" spans="2:2" ht="15.75" customHeight="1" x14ac:dyDescent="0.25">
      <c r="B143" s="4"/>
    </row>
    <row r="144" spans="2:2" ht="15.75" customHeight="1" x14ac:dyDescent="0.25">
      <c r="B144" s="4"/>
    </row>
    <row r="145" spans="2:2" ht="15.75" customHeight="1" x14ac:dyDescent="0.25">
      <c r="B145" s="4"/>
    </row>
    <row r="146" spans="2:2" ht="15.75" customHeight="1" x14ac:dyDescent="0.25">
      <c r="B146" s="4"/>
    </row>
    <row r="147" spans="2:2" ht="15.75" customHeight="1" x14ac:dyDescent="0.25">
      <c r="B147" s="4"/>
    </row>
    <row r="148" spans="2:2" ht="15.75" customHeight="1" x14ac:dyDescent="0.25">
      <c r="B148" s="4"/>
    </row>
    <row r="149" spans="2:2" ht="15.75" customHeight="1" x14ac:dyDescent="0.25">
      <c r="B149" s="4"/>
    </row>
    <row r="150" spans="2:2" ht="15.75" customHeight="1" x14ac:dyDescent="0.25">
      <c r="B150" s="4"/>
    </row>
    <row r="151" spans="2:2" ht="15.75" customHeight="1" x14ac:dyDescent="0.25">
      <c r="B151" s="4"/>
    </row>
    <row r="152" spans="2:2" ht="15.75" customHeight="1" x14ac:dyDescent="0.25">
      <c r="B152" s="4"/>
    </row>
    <row r="153" spans="2:2" ht="15.75" customHeight="1" x14ac:dyDescent="0.25">
      <c r="B153" s="4"/>
    </row>
    <row r="154" spans="2:2" ht="15.75" customHeight="1" x14ac:dyDescent="0.25">
      <c r="B154" s="4"/>
    </row>
    <row r="155" spans="2:2" ht="15.75" customHeight="1" x14ac:dyDescent="0.25">
      <c r="B155" s="4"/>
    </row>
    <row r="156" spans="2:2" ht="15.75" customHeight="1" x14ac:dyDescent="0.25">
      <c r="B156" s="4"/>
    </row>
    <row r="157" spans="2:2" ht="15.75" customHeight="1" x14ac:dyDescent="0.25">
      <c r="B157" s="4"/>
    </row>
    <row r="158" spans="2:2" ht="15.75" customHeight="1" x14ac:dyDescent="0.25">
      <c r="B158" s="4"/>
    </row>
    <row r="159" spans="2:2" ht="15.75" customHeight="1" x14ac:dyDescent="0.25">
      <c r="B159" s="4"/>
    </row>
    <row r="160" spans="2:2" ht="15.75" customHeight="1" x14ac:dyDescent="0.25">
      <c r="B160" s="4"/>
    </row>
    <row r="161" spans="2:2" ht="15.75" customHeight="1" x14ac:dyDescent="0.25">
      <c r="B161" s="4"/>
    </row>
    <row r="162" spans="2:2" ht="15.75" customHeight="1" x14ac:dyDescent="0.25">
      <c r="B162" s="4"/>
    </row>
    <row r="163" spans="2:2" ht="15.75" customHeight="1" x14ac:dyDescent="0.25">
      <c r="B163" s="4"/>
    </row>
    <row r="164" spans="2:2" ht="15.75" customHeight="1" x14ac:dyDescent="0.25">
      <c r="B164" s="4"/>
    </row>
    <row r="165" spans="2:2" ht="15.75" customHeight="1" x14ac:dyDescent="0.25">
      <c r="B165" s="4"/>
    </row>
    <row r="166" spans="2:2" ht="15.75" customHeight="1" x14ac:dyDescent="0.25">
      <c r="B166" s="4"/>
    </row>
    <row r="167" spans="2:2" ht="15.75" customHeight="1" x14ac:dyDescent="0.25">
      <c r="B167" s="4"/>
    </row>
    <row r="168" spans="2:2" ht="15.75" customHeight="1" x14ac:dyDescent="0.25">
      <c r="B168" s="4"/>
    </row>
    <row r="169" spans="2:2" ht="15.75" customHeight="1" x14ac:dyDescent="0.25">
      <c r="B169" s="4"/>
    </row>
    <row r="170" spans="2:2" ht="15.75" customHeight="1" x14ac:dyDescent="0.25">
      <c r="B170" s="4"/>
    </row>
    <row r="171" spans="2:2" ht="15.75" customHeight="1" x14ac:dyDescent="0.25">
      <c r="B171" s="4"/>
    </row>
    <row r="172" spans="2:2" ht="15.75" customHeight="1" x14ac:dyDescent="0.25">
      <c r="B172" s="4"/>
    </row>
    <row r="173" spans="2:2" ht="15.75" customHeight="1" x14ac:dyDescent="0.25">
      <c r="B173" s="4"/>
    </row>
    <row r="174" spans="2:2" ht="15.75" customHeight="1" x14ac:dyDescent="0.25">
      <c r="B174" s="4"/>
    </row>
    <row r="175" spans="2:2" ht="15.75" customHeight="1" x14ac:dyDescent="0.25">
      <c r="B175" s="4"/>
    </row>
    <row r="176" spans="2:2" ht="15.75" customHeight="1" x14ac:dyDescent="0.25">
      <c r="B176" s="4"/>
    </row>
    <row r="177" spans="2:2" ht="15.75" customHeight="1" x14ac:dyDescent="0.25">
      <c r="B177" s="4"/>
    </row>
    <row r="178" spans="2:2" ht="15.75" customHeight="1" x14ac:dyDescent="0.25">
      <c r="B178" s="4"/>
    </row>
    <row r="179" spans="2:2" ht="15.75" customHeight="1" x14ac:dyDescent="0.25">
      <c r="B179" s="4"/>
    </row>
    <row r="180" spans="2:2" ht="15.75" customHeight="1" x14ac:dyDescent="0.25">
      <c r="B180" s="4"/>
    </row>
    <row r="181" spans="2:2" ht="15.75" customHeight="1" x14ac:dyDescent="0.25">
      <c r="B181" s="4"/>
    </row>
    <row r="182" spans="2:2" ht="15.75" customHeight="1" x14ac:dyDescent="0.25">
      <c r="B182" s="4"/>
    </row>
    <row r="183" spans="2:2" ht="15.75" customHeight="1" x14ac:dyDescent="0.25">
      <c r="B183" s="4"/>
    </row>
    <row r="184" spans="2:2" ht="15.75" customHeight="1" x14ac:dyDescent="0.25">
      <c r="B184" s="4"/>
    </row>
    <row r="185" spans="2:2" ht="15.75" customHeight="1" x14ac:dyDescent="0.25">
      <c r="B185" s="4"/>
    </row>
    <row r="186" spans="2:2" ht="15.75" customHeight="1" x14ac:dyDescent="0.25">
      <c r="B186" s="4"/>
    </row>
    <row r="187" spans="2:2" ht="15.75" customHeight="1" x14ac:dyDescent="0.25">
      <c r="B187" s="4"/>
    </row>
    <row r="188" spans="2:2" ht="15.75" customHeight="1" x14ac:dyDescent="0.25">
      <c r="B188" s="4"/>
    </row>
    <row r="189" spans="2:2" ht="15.75" customHeight="1" x14ac:dyDescent="0.25">
      <c r="B189" s="4"/>
    </row>
    <row r="190" spans="2:2" ht="15.75" customHeight="1" x14ac:dyDescent="0.25">
      <c r="B190" s="4"/>
    </row>
    <row r="191" spans="2:2" ht="15.75" customHeight="1" x14ac:dyDescent="0.25">
      <c r="B191" s="4"/>
    </row>
    <row r="192" spans="2:2" ht="15.75" customHeight="1" x14ac:dyDescent="0.25">
      <c r="B192" s="4"/>
    </row>
    <row r="193" spans="2:2" ht="15.75" customHeight="1" x14ac:dyDescent="0.25">
      <c r="B193" s="4"/>
    </row>
    <row r="194" spans="2:2" ht="15.75" customHeight="1" x14ac:dyDescent="0.25">
      <c r="B194" s="4"/>
    </row>
    <row r="195" spans="2:2" ht="15.75" customHeight="1" x14ac:dyDescent="0.25">
      <c r="B195" s="4"/>
    </row>
    <row r="196" spans="2:2" ht="15.75" customHeight="1" x14ac:dyDescent="0.25">
      <c r="B196" s="4"/>
    </row>
    <row r="197" spans="2:2" ht="15.75" customHeight="1" x14ac:dyDescent="0.25">
      <c r="B197" s="4"/>
    </row>
    <row r="198" spans="2:2" ht="15.75" customHeight="1" x14ac:dyDescent="0.25">
      <c r="B198" s="4"/>
    </row>
    <row r="199" spans="2:2" ht="15.75" customHeight="1" x14ac:dyDescent="0.25">
      <c r="B199" s="4"/>
    </row>
    <row r="200" spans="2:2" ht="15.75" customHeight="1" x14ac:dyDescent="0.25">
      <c r="B200" s="4"/>
    </row>
    <row r="201" spans="2:2" ht="15.75" customHeight="1" x14ac:dyDescent="0.25">
      <c r="B201" s="4"/>
    </row>
    <row r="202" spans="2:2" ht="15.75" customHeight="1" x14ac:dyDescent="0.25">
      <c r="B202" s="4"/>
    </row>
    <row r="203" spans="2:2" ht="15.75" customHeight="1" x14ac:dyDescent="0.25">
      <c r="B203" s="4"/>
    </row>
    <row r="204" spans="2:2" ht="15.75" customHeight="1" x14ac:dyDescent="0.25">
      <c r="B204" s="4"/>
    </row>
    <row r="205" spans="2:2" ht="15.75" customHeight="1" x14ac:dyDescent="0.25">
      <c r="B205" s="4"/>
    </row>
    <row r="206" spans="2:2" ht="15.75" customHeight="1" x14ac:dyDescent="0.25">
      <c r="B206" s="4"/>
    </row>
    <row r="207" spans="2:2" ht="15.75" customHeight="1" x14ac:dyDescent="0.25">
      <c r="B207" s="4"/>
    </row>
    <row r="208" spans="2:2" ht="15.75" customHeight="1" x14ac:dyDescent="0.25">
      <c r="B208" s="4"/>
    </row>
    <row r="209" spans="2:2" ht="15.75" customHeight="1" x14ac:dyDescent="0.25">
      <c r="B209" s="4"/>
    </row>
    <row r="210" spans="2:2" ht="15.75" customHeight="1" x14ac:dyDescent="0.25">
      <c r="B210" s="4"/>
    </row>
    <row r="211" spans="2:2" ht="15.75" customHeight="1" x14ac:dyDescent="0.25">
      <c r="B211" s="4"/>
    </row>
    <row r="212" spans="2:2" ht="15.75" customHeight="1" x14ac:dyDescent="0.25">
      <c r="B212" s="4"/>
    </row>
    <row r="213" spans="2:2" ht="15.75" customHeight="1" x14ac:dyDescent="0.25">
      <c r="B213" s="4"/>
    </row>
    <row r="214" spans="2:2" ht="15.75" customHeight="1" x14ac:dyDescent="0.25">
      <c r="B214" s="4"/>
    </row>
    <row r="215" spans="2:2" ht="15.75" customHeight="1" x14ac:dyDescent="0.25">
      <c r="B215" s="4"/>
    </row>
    <row r="216" spans="2:2" ht="15.75" customHeight="1" x14ac:dyDescent="0.25">
      <c r="B216" s="4"/>
    </row>
    <row r="217" spans="2:2" ht="15.75" customHeight="1" x14ac:dyDescent="0.25">
      <c r="B217" s="4"/>
    </row>
    <row r="218" spans="2:2" ht="15.75" customHeight="1" x14ac:dyDescent="0.25">
      <c r="B218" s="4"/>
    </row>
    <row r="219" spans="2:2" ht="15.75" customHeight="1" x14ac:dyDescent="0.25">
      <c r="B219" s="4"/>
    </row>
    <row r="220" spans="2:2" ht="15.75" customHeight="1" x14ac:dyDescent="0.25">
      <c r="B220" s="4"/>
    </row>
    <row r="221" spans="2:2" ht="15.75" customHeight="1" x14ac:dyDescent="0.25">
      <c r="B221" s="4"/>
    </row>
    <row r="222" spans="2:2" ht="15.75" customHeight="1" x14ac:dyDescent="0.25">
      <c r="B222" s="4"/>
    </row>
    <row r="223" spans="2:2" ht="15.75" customHeight="1" x14ac:dyDescent="0.25">
      <c r="B223" s="4"/>
    </row>
    <row r="224" spans="2:2" ht="15.75" customHeight="1" x14ac:dyDescent="0.25">
      <c r="B224" s="4"/>
    </row>
    <row r="225" spans="2:2" ht="15.75" customHeight="1" x14ac:dyDescent="0.25">
      <c r="B225" s="4"/>
    </row>
    <row r="226" spans="2:2" ht="15.75" customHeight="1" x14ac:dyDescent="0.25">
      <c r="B226" s="4"/>
    </row>
    <row r="227" spans="2:2" ht="15.75" customHeight="1" x14ac:dyDescent="0.25">
      <c r="B227" s="4"/>
    </row>
    <row r="228" spans="2:2" ht="15.75" customHeight="1" x14ac:dyDescent="0.25">
      <c r="B228" s="4"/>
    </row>
    <row r="229" spans="2:2" ht="15.75" customHeight="1" x14ac:dyDescent="0.25">
      <c r="B229" s="4"/>
    </row>
    <row r="230" spans="2:2" ht="15.75" customHeight="1" x14ac:dyDescent="0.25">
      <c r="B230" s="4"/>
    </row>
    <row r="231" spans="2:2" ht="15.75" customHeight="1" x14ac:dyDescent="0.25">
      <c r="B231" s="4"/>
    </row>
    <row r="232" spans="2:2" ht="15.75" customHeight="1" x14ac:dyDescent="0.25">
      <c r="B232" s="4"/>
    </row>
    <row r="233" spans="2:2" ht="15.75" customHeight="1" x14ac:dyDescent="0.25">
      <c r="B233" s="4"/>
    </row>
    <row r="234" spans="2:2" ht="15.75" customHeight="1" x14ac:dyDescent="0.25">
      <c r="B234" s="4"/>
    </row>
    <row r="235" spans="2:2" ht="15.75" customHeight="1" x14ac:dyDescent="0.25">
      <c r="B235" s="4"/>
    </row>
    <row r="236" spans="2:2" ht="15.75" customHeight="1" x14ac:dyDescent="0.25">
      <c r="B236" s="4"/>
    </row>
    <row r="237" spans="2:2" ht="15.75" customHeight="1" x14ac:dyDescent="0.25">
      <c r="B237" s="4"/>
    </row>
    <row r="238" spans="2:2" ht="15.75" customHeight="1" x14ac:dyDescent="0.25">
      <c r="B238" s="4"/>
    </row>
    <row r="239" spans="2:2" ht="15.75" customHeight="1" x14ac:dyDescent="0.25">
      <c r="B239" s="4"/>
    </row>
    <row r="240" spans="2:2" ht="15.75" customHeight="1" x14ac:dyDescent="0.25">
      <c r="B240" s="4"/>
    </row>
    <row r="241" spans="2:2" ht="15.75" customHeight="1" x14ac:dyDescent="0.25">
      <c r="B241" s="4"/>
    </row>
    <row r="242" spans="2:2" ht="15.75" customHeight="1" x14ac:dyDescent="0.25">
      <c r="B242" s="4"/>
    </row>
    <row r="243" spans="2:2" ht="15.75" customHeight="1" x14ac:dyDescent="0.25">
      <c r="B243" s="4"/>
    </row>
    <row r="244" spans="2:2" ht="15.75" customHeight="1" x14ac:dyDescent="0.25">
      <c r="B244" s="4"/>
    </row>
    <row r="245" spans="2:2" ht="15.75" customHeight="1" x14ac:dyDescent="0.25">
      <c r="B245" s="4"/>
    </row>
    <row r="246" spans="2:2" ht="15.75" customHeight="1" x14ac:dyDescent="0.25">
      <c r="B246" s="4"/>
    </row>
    <row r="247" spans="2:2" ht="15.75" customHeight="1" x14ac:dyDescent="0.25">
      <c r="B247" s="4"/>
    </row>
    <row r="248" spans="2:2" ht="15.75" customHeight="1" x14ac:dyDescent="0.25">
      <c r="B248" s="4"/>
    </row>
    <row r="249" spans="2:2" ht="15.75" customHeight="1" x14ac:dyDescent="0.25">
      <c r="B249" s="4"/>
    </row>
    <row r="250" spans="2:2" ht="15.75" customHeight="1" x14ac:dyDescent="0.25">
      <c r="B250" s="4"/>
    </row>
    <row r="251" spans="2:2" ht="15.75" customHeight="1" x14ac:dyDescent="0.25">
      <c r="B251" s="4"/>
    </row>
    <row r="252" spans="2:2" ht="15.75" customHeight="1" x14ac:dyDescent="0.25">
      <c r="B252" s="4"/>
    </row>
    <row r="253" spans="2:2" ht="15.75" customHeight="1" x14ac:dyDescent="0.25">
      <c r="B253" s="4"/>
    </row>
    <row r="254" spans="2:2" ht="15.75" customHeight="1" x14ac:dyDescent="0.25">
      <c r="B254" s="4"/>
    </row>
    <row r="255" spans="2:2" ht="15.75" customHeight="1" x14ac:dyDescent="0.25">
      <c r="B255" s="4"/>
    </row>
    <row r="256" spans="2:2" ht="15.75" customHeight="1" x14ac:dyDescent="0.25">
      <c r="B256" s="4"/>
    </row>
    <row r="257" spans="2:2" ht="15.75" customHeight="1" x14ac:dyDescent="0.25">
      <c r="B257" s="4"/>
    </row>
    <row r="258" spans="2:2" ht="15.75" customHeight="1" x14ac:dyDescent="0.25">
      <c r="B258" s="4"/>
    </row>
    <row r="259" spans="2:2" ht="15.75" customHeight="1" x14ac:dyDescent="0.25">
      <c r="B259" s="4"/>
    </row>
    <row r="260" spans="2:2" ht="15.75" customHeight="1" x14ac:dyDescent="0.25">
      <c r="B260" s="4"/>
    </row>
    <row r="261" spans="2:2" ht="15.75" customHeight="1" x14ac:dyDescent="0.25">
      <c r="B261" s="4"/>
    </row>
    <row r="262" spans="2:2" ht="15.75" customHeight="1" x14ac:dyDescent="0.25">
      <c r="B262" s="4"/>
    </row>
    <row r="263" spans="2:2" ht="15.75" customHeight="1" x14ac:dyDescent="0.25">
      <c r="B263" s="4"/>
    </row>
    <row r="264" spans="2:2" ht="15.75" customHeight="1" x14ac:dyDescent="0.25">
      <c r="B264" s="4"/>
    </row>
    <row r="265" spans="2:2" ht="15.75" customHeight="1" x14ac:dyDescent="0.25">
      <c r="B265" s="4"/>
    </row>
    <row r="266" spans="2:2" ht="15.75" customHeight="1" x14ac:dyDescent="0.25">
      <c r="B266" s="4"/>
    </row>
    <row r="267" spans="2:2" ht="15.75" customHeight="1" x14ac:dyDescent="0.25">
      <c r="B267" s="4"/>
    </row>
    <row r="268" spans="2:2" ht="15.75" customHeight="1" x14ac:dyDescent="0.25">
      <c r="B268" s="4"/>
    </row>
    <row r="269" spans="2:2" ht="15.75" customHeight="1" x14ac:dyDescent="0.25">
      <c r="B269" s="4"/>
    </row>
    <row r="270" spans="2:2" ht="15.75" customHeight="1" x14ac:dyDescent="0.25">
      <c r="B270" s="4"/>
    </row>
    <row r="271" spans="2:2" ht="15.75" customHeight="1" x14ac:dyDescent="0.25">
      <c r="B271" s="4"/>
    </row>
    <row r="272" spans="2:2" ht="15.75" customHeight="1" x14ac:dyDescent="0.25">
      <c r="B272" s="4"/>
    </row>
    <row r="273" spans="2:2" ht="15.75" customHeight="1" x14ac:dyDescent="0.25">
      <c r="B273" s="4"/>
    </row>
    <row r="274" spans="2:2" ht="15.75" customHeight="1" x14ac:dyDescent="0.25">
      <c r="B274" s="4"/>
    </row>
    <row r="275" spans="2:2" ht="15.75" customHeight="1" x14ac:dyDescent="0.25">
      <c r="B275" s="4"/>
    </row>
    <row r="276" spans="2:2" ht="15.75" customHeight="1" x14ac:dyDescent="0.25">
      <c r="B276" s="4"/>
    </row>
    <row r="277" spans="2:2" ht="15.75" customHeight="1" x14ac:dyDescent="0.25">
      <c r="B277" s="4"/>
    </row>
    <row r="278" spans="2:2" ht="15.75" customHeight="1" x14ac:dyDescent="0.25">
      <c r="B278" s="4"/>
    </row>
    <row r="279" spans="2:2" ht="15.75" customHeight="1" x14ac:dyDescent="0.25">
      <c r="B279" s="4"/>
    </row>
    <row r="280" spans="2:2" ht="15.75" customHeight="1" x14ac:dyDescent="0.25">
      <c r="B280" s="4"/>
    </row>
    <row r="281" spans="2:2" ht="15.75" customHeight="1" x14ac:dyDescent="0.25">
      <c r="B281" s="4"/>
    </row>
    <row r="282" spans="2:2" ht="15.75" customHeight="1" x14ac:dyDescent="0.25">
      <c r="B282" s="4"/>
    </row>
    <row r="283" spans="2:2" ht="15.75" customHeight="1" x14ac:dyDescent="0.25">
      <c r="B283" s="4"/>
    </row>
    <row r="284" spans="2:2" ht="15.75" customHeight="1" x14ac:dyDescent="0.25">
      <c r="B284" s="4"/>
    </row>
    <row r="285" spans="2:2" ht="15.75" customHeight="1" x14ac:dyDescent="0.25">
      <c r="B285" s="4"/>
    </row>
    <row r="286" spans="2:2" ht="15.75" customHeight="1" x14ac:dyDescent="0.25">
      <c r="B286" s="4"/>
    </row>
    <row r="287" spans="2:2" ht="15.75" customHeight="1" x14ac:dyDescent="0.25">
      <c r="B287" s="4"/>
    </row>
    <row r="288" spans="2:2" ht="15.75" customHeight="1" x14ac:dyDescent="0.25">
      <c r="B288" s="4"/>
    </row>
    <row r="289" spans="2:2" ht="15.75" customHeight="1" x14ac:dyDescent="0.25">
      <c r="B289" s="4"/>
    </row>
    <row r="290" spans="2:2" ht="15.75" customHeight="1" x14ac:dyDescent="0.25">
      <c r="B290" s="4"/>
    </row>
    <row r="291" spans="2:2" ht="15.75" customHeight="1" x14ac:dyDescent="0.25">
      <c r="B291" s="4"/>
    </row>
    <row r="292" spans="2:2" ht="15.75" customHeight="1" x14ac:dyDescent="0.25">
      <c r="B292" s="4"/>
    </row>
    <row r="293" spans="2:2" ht="15.75" customHeight="1" x14ac:dyDescent="0.25">
      <c r="B293" s="4"/>
    </row>
    <row r="294" spans="2:2" ht="15.75" customHeight="1" x14ac:dyDescent="0.25">
      <c r="B294" s="4"/>
    </row>
    <row r="295" spans="2:2" ht="15.75" customHeight="1" x14ac:dyDescent="0.25">
      <c r="B295" s="4"/>
    </row>
    <row r="296" spans="2:2" ht="15.75" customHeight="1" x14ac:dyDescent="0.25">
      <c r="B296" s="4"/>
    </row>
    <row r="297" spans="2:2" ht="15.75" customHeight="1" x14ac:dyDescent="0.25">
      <c r="B297" s="4"/>
    </row>
    <row r="298" spans="2:2" ht="15.75" customHeight="1" x14ac:dyDescent="0.25">
      <c r="B298" s="4"/>
    </row>
    <row r="299" spans="2:2" ht="15.75" customHeight="1" x14ac:dyDescent="0.25">
      <c r="B299" s="4"/>
    </row>
    <row r="300" spans="2:2" ht="15.75" customHeight="1" x14ac:dyDescent="0.25">
      <c r="B300" s="4"/>
    </row>
    <row r="301" spans="2:2" ht="15.75" customHeight="1" x14ac:dyDescent="0.25">
      <c r="B301" s="4"/>
    </row>
    <row r="302" spans="2:2" ht="15.75" customHeight="1" x14ac:dyDescent="0.25">
      <c r="B302" s="4"/>
    </row>
    <row r="303" spans="2:2" ht="15.75" customHeight="1" x14ac:dyDescent="0.25">
      <c r="B303" s="4"/>
    </row>
    <row r="304" spans="2:2" ht="15.75" customHeight="1" x14ac:dyDescent="0.25">
      <c r="B304" s="4"/>
    </row>
    <row r="305" spans="2:2" ht="15.75" customHeight="1" x14ac:dyDescent="0.25">
      <c r="B305" s="4"/>
    </row>
    <row r="306" spans="2:2" ht="15.75" customHeight="1" x14ac:dyDescent="0.25">
      <c r="B306" s="4"/>
    </row>
    <row r="307" spans="2:2" ht="15.75" customHeight="1" x14ac:dyDescent="0.25">
      <c r="B307" s="4"/>
    </row>
    <row r="308" spans="2:2" ht="15.75" customHeight="1" x14ac:dyDescent="0.25">
      <c r="B308" s="4"/>
    </row>
    <row r="309" spans="2:2" ht="15.75" customHeight="1" x14ac:dyDescent="0.25">
      <c r="B309" s="4"/>
    </row>
    <row r="310" spans="2:2" ht="15.75" customHeight="1" x14ac:dyDescent="0.25">
      <c r="B310" s="4"/>
    </row>
    <row r="311" spans="2:2" ht="15.75" customHeight="1" x14ac:dyDescent="0.25">
      <c r="B311" s="4"/>
    </row>
    <row r="312" spans="2:2" ht="15.75" customHeight="1" x14ac:dyDescent="0.25">
      <c r="B312" s="4"/>
    </row>
    <row r="313" spans="2:2" ht="15.75" customHeight="1" x14ac:dyDescent="0.25">
      <c r="B313" s="4"/>
    </row>
    <row r="314" spans="2:2" ht="15.75" customHeight="1" x14ac:dyDescent="0.25">
      <c r="B314" s="4"/>
    </row>
    <row r="315" spans="2:2" ht="15.75" customHeight="1" x14ac:dyDescent="0.25">
      <c r="B315" s="4"/>
    </row>
    <row r="316" spans="2:2" ht="15.75" customHeight="1" x14ac:dyDescent="0.25">
      <c r="B316" s="4"/>
    </row>
    <row r="317" spans="2:2" ht="15.75" customHeight="1" x14ac:dyDescent="0.25">
      <c r="B317" s="4"/>
    </row>
    <row r="318" spans="2:2" ht="15.75" customHeight="1" x14ac:dyDescent="0.25">
      <c r="B318" s="4"/>
    </row>
    <row r="319" spans="2:2" ht="15.75" customHeight="1" x14ac:dyDescent="0.25">
      <c r="B319" s="4"/>
    </row>
    <row r="320" spans="2:2" ht="15.75" customHeight="1" x14ac:dyDescent="0.25">
      <c r="B320" s="4"/>
    </row>
    <row r="321" spans="2:2" ht="15.75" customHeight="1" x14ac:dyDescent="0.25">
      <c r="B321" s="4"/>
    </row>
    <row r="322" spans="2:2" ht="15.75" customHeight="1" x14ac:dyDescent="0.25">
      <c r="B322" s="4"/>
    </row>
    <row r="323" spans="2:2" ht="15.75" customHeight="1" x14ac:dyDescent="0.25">
      <c r="B323" s="4"/>
    </row>
    <row r="324" spans="2:2" ht="15.75" customHeight="1" x14ac:dyDescent="0.25">
      <c r="B324" s="4"/>
    </row>
    <row r="325" spans="2:2" ht="15.75" customHeight="1" x14ac:dyDescent="0.25">
      <c r="B325" s="4"/>
    </row>
    <row r="326" spans="2:2" ht="15.75" customHeight="1" x14ac:dyDescent="0.25">
      <c r="B326" s="4"/>
    </row>
    <row r="327" spans="2:2" ht="15.75" customHeight="1" x14ac:dyDescent="0.25">
      <c r="B327" s="4"/>
    </row>
    <row r="328" spans="2:2" ht="15.75" customHeight="1" x14ac:dyDescent="0.25">
      <c r="B328" s="4"/>
    </row>
    <row r="329" spans="2:2" ht="15.75" customHeight="1" x14ac:dyDescent="0.25">
      <c r="B329" s="4"/>
    </row>
    <row r="330" spans="2:2" ht="15.75" customHeight="1" x14ac:dyDescent="0.25">
      <c r="B330" s="4"/>
    </row>
    <row r="331" spans="2:2" ht="15.75" customHeight="1" x14ac:dyDescent="0.25">
      <c r="B331" s="4"/>
    </row>
    <row r="332" spans="2:2" ht="15.75" customHeight="1" x14ac:dyDescent="0.25">
      <c r="B332" s="4"/>
    </row>
    <row r="333" spans="2:2" ht="15.75" customHeight="1" x14ac:dyDescent="0.25">
      <c r="B333" s="4"/>
    </row>
    <row r="334" spans="2:2" ht="15.75" customHeight="1" x14ac:dyDescent="0.25">
      <c r="B334" s="4"/>
    </row>
    <row r="335" spans="2:2" ht="15.75" customHeight="1" x14ac:dyDescent="0.25">
      <c r="B335" s="4"/>
    </row>
    <row r="336" spans="2:2" ht="15.75" customHeight="1" x14ac:dyDescent="0.25">
      <c r="B336" s="4"/>
    </row>
    <row r="337" spans="2:2" ht="15.75" customHeight="1" x14ac:dyDescent="0.25">
      <c r="B337" s="4"/>
    </row>
    <row r="338" spans="2:2" ht="15.75" customHeight="1" x14ac:dyDescent="0.25">
      <c r="B338" s="4"/>
    </row>
    <row r="339" spans="2:2" ht="15.75" customHeight="1" x14ac:dyDescent="0.25">
      <c r="B339" s="4"/>
    </row>
    <row r="340" spans="2:2" ht="15.75" customHeight="1" x14ac:dyDescent="0.25">
      <c r="B340" s="4"/>
    </row>
    <row r="341" spans="2:2" ht="15.75" customHeight="1" x14ac:dyDescent="0.25">
      <c r="B341" s="4"/>
    </row>
    <row r="342" spans="2:2" ht="15.75" customHeight="1" x14ac:dyDescent="0.25">
      <c r="B342" s="4"/>
    </row>
    <row r="343" spans="2:2" ht="15.75" customHeight="1" x14ac:dyDescent="0.25">
      <c r="B343" s="4"/>
    </row>
    <row r="344" spans="2:2" ht="15.75" customHeight="1" x14ac:dyDescent="0.25">
      <c r="B344" s="4"/>
    </row>
    <row r="345" spans="2:2" ht="15.75" customHeight="1" x14ac:dyDescent="0.25">
      <c r="B345" s="4"/>
    </row>
    <row r="346" spans="2:2" ht="15.75" customHeight="1" x14ac:dyDescent="0.25">
      <c r="B346" s="4"/>
    </row>
    <row r="347" spans="2:2" ht="15.75" customHeight="1" x14ac:dyDescent="0.25">
      <c r="B347" s="4"/>
    </row>
    <row r="348" spans="2:2" ht="15.75" customHeight="1" x14ac:dyDescent="0.25">
      <c r="B348" s="4"/>
    </row>
    <row r="349" spans="2:2" ht="15.75" customHeight="1" x14ac:dyDescent="0.25">
      <c r="B349" s="4"/>
    </row>
    <row r="350" spans="2:2" ht="15.75" customHeight="1" x14ac:dyDescent="0.25">
      <c r="B350" s="4"/>
    </row>
    <row r="351" spans="2:2" ht="15.75" customHeight="1" x14ac:dyDescent="0.25">
      <c r="B351" s="4"/>
    </row>
    <row r="352" spans="2:2" ht="15.75" customHeight="1" x14ac:dyDescent="0.25">
      <c r="B352" s="4"/>
    </row>
    <row r="353" spans="2:2" ht="15.75" customHeight="1" x14ac:dyDescent="0.25">
      <c r="B353" s="4"/>
    </row>
    <row r="354" spans="2:2" ht="15.75" customHeight="1" x14ac:dyDescent="0.25">
      <c r="B354" s="4"/>
    </row>
    <row r="355" spans="2:2" ht="15.75" customHeight="1" x14ac:dyDescent="0.25">
      <c r="B355" s="4"/>
    </row>
    <row r="356" spans="2:2" ht="15.75" customHeight="1" x14ac:dyDescent="0.25">
      <c r="B356" s="4"/>
    </row>
    <row r="357" spans="2:2" ht="15.75" customHeight="1" x14ac:dyDescent="0.25">
      <c r="B357" s="4"/>
    </row>
    <row r="358" spans="2:2" ht="15.75" customHeight="1" x14ac:dyDescent="0.25">
      <c r="B358" s="4"/>
    </row>
    <row r="359" spans="2:2" ht="15.75" customHeight="1" x14ac:dyDescent="0.25">
      <c r="B359" s="4"/>
    </row>
    <row r="360" spans="2:2" ht="15.75" customHeight="1" x14ac:dyDescent="0.25">
      <c r="B360" s="4"/>
    </row>
    <row r="361" spans="2:2" ht="15.75" customHeight="1" x14ac:dyDescent="0.25">
      <c r="B361" s="4"/>
    </row>
    <row r="362" spans="2:2" ht="15.75" customHeight="1" x14ac:dyDescent="0.25">
      <c r="B362" s="4"/>
    </row>
    <row r="363" spans="2:2" ht="15.75" customHeight="1" x14ac:dyDescent="0.25">
      <c r="B363" s="4"/>
    </row>
    <row r="364" spans="2:2" ht="15.75" customHeight="1" x14ac:dyDescent="0.25">
      <c r="B364" s="4"/>
    </row>
    <row r="365" spans="2:2" ht="15.75" customHeight="1" x14ac:dyDescent="0.25">
      <c r="B365" s="4"/>
    </row>
    <row r="366" spans="2:2" ht="15.75" customHeight="1" x14ac:dyDescent="0.25">
      <c r="B366" s="4"/>
    </row>
    <row r="367" spans="2:2" ht="15.75" customHeight="1" x14ac:dyDescent="0.25">
      <c r="B367" s="4"/>
    </row>
    <row r="368" spans="2:2" ht="15.75" customHeight="1" x14ac:dyDescent="0.25">
      <c r="B368" s="4"/>
    </row>
    <row r="369" spans="2:2" ht="15.75" customHeight="1" x14ac:dyDescent="0.25">
      <c r="B369" s="4"/>
    </row>
    <row r="370" spans="2:2" ht="15.75" customHeight="1" x14ac:dyDescent="0.25">
      <c r="B370" s="4"/>
    </row>
    <row r="371" spans="2:2" ht="15.75" customHeight="1" x14ac:dyDescent="0.25">
      <c r="B371" s="4"/>
    </row>
    <row r="372" spans="2:2" ht="15.75" customHeight="1" x14ac:dyDescent="0.25">
      <c r="B372" s="4"/>
    </row>
    <row r="373" spans="2:2" ht="15.75" customHeight="1" x14ac:dyDescent="0.25">
      <c r="B373" s="4"/>
    </row>
    <row r="374" spans="2:2" ht="15.75" customHeight="1" x14ac:dyDescent="0.25">
      <c r="B374" s="4"/>
    </row>
    <row r="375" spans="2:2" ht="15.75" customHeight="1" x14ac:dyDescent="0.25">
      <c r="B375" s="4"/>
    </row>
    <row r="376" spans="2:2" ht="15.75" customHeight="1" x14ac:dyDescent="0.25">
      <c r="B376" s="4"/>
    </row>
    <row r="377" spans="2:2" ht="15.75" customHeight="1" x14ac:dyDescent="0.25">
      <c r="B377" s="4"/>
    </row>
    <row r="378" spans="2:2" ht="15.75" customHeight="1" x14ac:dyDescent="0.25">
      <c r="B378" s="4"/>
    </row>
    <row r="379" spans="2:2" ht="15.75" customHeight="1" x14ac:dyDescent="0.25">
      <c r="B379" s="4"/>
    </row>
    <row r="380" spans="2:2" ht="15.75" customHeight="1" x14ac:dyDescent="0.25">
      <c r="B380" s="4"/>
    </row>
    <row r="381" spans="2:2" ht="15.75" customHeight="1" x14ac:dyDescent="0.25">
      <c r="B381" s="4"/>
    </row>
    <row r="382" spans="2:2" ht="15.75" customHeight="1" x14ac:dyDescent="0.25">
      <c r="B382" s="4"/>
    </row>
    <row r="383" spans="2:2" ht="15.75" customHeight="1" x14ac:dyDescent="0.25">
      <c r="B383" s="4"/>
    </row>
    <row r="384" spans="2:2" ht="15.75" customHeight="1" x14ac:dyDescent="0.25">
      <c r="B384" s="4"/>
    </row>
    <row r="385" spans="2:2" ht="15.75" customHeight="1" x14ac:dyDescent="0.25">
      <c r="B385" s="4"/>
    </row>
    <row r="386" spans="2:2" ht="15.75" customHeight="1" x14ac:dyDescent="0.25">
      <c r="B386" s="4"/>
    </row>
    <row r="387" spans="2:2" ht="15.75" customHeight="1" x14ac:dyDescent="0.25">
      <c r="B387" s="4"/>
    </row>
    <row r="388" spans="2:2" ht="15.75" customHeight="1" x14ac:dyDescent="0.25">
      <c r="B388" s="4"/>
    </row>
    <row r="389" spans="2:2" ht="15.75" customHeight="1" x14ac:dyDescent="0.25">
      <c r="B389" s="4"/>
    </row>
    <row r="390" spans="2:2" ht="15.75" customHeight="1" x14ac:dyDescent="0.25">
      <c r="B390" s="4"/>
    </row>
    <row r="391" spans="2:2" ht="15.75" customHeight="1" x14ac:dyDescent="0.25">
      <c r="B391" s="4"/>
    </row>
    <row r="392" spans="2:2" ht="15.75" customHeight="1" x14ac:dyDescent="0.25">
      <c r="B392" s="4"/>
    </row>
    <row r="393" spans="2:2" ht="15.75" customHeight="1" x14ac:dyDescent="0.25">
      <c r="B393" s="4"/>
    </row>
    <row r="394" spans="2:2" ht="15.75" customHeight="1" x14ac:dyDescent="0.25">
      <c r="B394" s="4"/>
    </row>
    <row r="395" spans="2:2" ht="15.75" customHeight="1" x14ac:dyDescent="0.25">
      <c r="B395" s="4"/>
    </row>
    <row r="396" spans="2:2" ht="15.75" customHeight="1" x14ac:dyDescent="0.25">
      <c r="B396" s="4"/>
    </row>
    <row r="397" spans="2:2" ht="15.75" customHeight="1" x14ac:dyDescent="0.25">
      <c r="B397" s="4"/>
    </row>
    <row r="398" spans="2:2" ht="15.75" customHeight="1" x14ac:dyDescent="0.25">
      <c r="B398" s="4"/>
    </row>
    <row r="399" spans="2:2" ht="15.75" customHeight="1" x14ac:dyDescent="0.25">
      <c r="B399" s="4"/>
    </row>
    <row r="400" spans="2:2" ht="15.75" customHeight="1" x14ac:dyDescent="0.25">
      <c r="B400" s="4"/>
    </row>
    <row r="401" spans="2:2" ht="15.75" customHeight="1" x14ac:dyDescent="0.25">
      <c r="B401" s="4"/>
    </row>
    <row r="402" spans="2:2" ht="15.75" customHeight="1" x14ac:dyDescent="0.25">
      <c r="B402" s="4"/>
    </row>
    <row r="403" spans="2:2" ht="15.75" customHeight="1" x14ac:dyDescent="0.25">
      <c r="B403" s="4"/>
    </row>
    <row r="404" spans="2:2" ht="15.75" customHeight="1" x14ac:dyDescent="0.25">
      <c r="B404" s="4"/>
    </row>
    <row r="405" spans="2:2" ht="15.75" customHeight="1" x14ac:dyDescent="0.25">
      <c r="B405" s="4"/>
    </row>
    <row r="406" spans="2:2" ht="15.75" customHeight="1" x14ac:dyDescent="0.25">
      <c r="B406" s="4"/>
    </row>
    <row r="407" spans="2:2" ht="15.75" customHeight="1" x14ac:dyDescent="0.25">
      <c r="B407" s="4"/>
    </row>
    <row r="408" spans="2:2" ht="15.75" customHeight="1" x14ac:dyDescent="0.25">
      <c r="B408" s="4"/>
    </row>
    <row r="409" spans="2:2" ht="15.75" customHeight="1" x14ac:dyDescent="0.25">
      <c r="B409" s="4"/>
    </row>
    <row r="410" spans="2:2" ht="15.75" customHeight="1" x14ac:dyDescent="0.25">
      <c r="B410" s="4"/>
    </row>
    <row r="411" spans="2:2" ht="15.75" customHeight="1" x14ac:dyDescent="0.25">
      <c r="B411" s="4"/>
    </row>
    <row r="412" spans="2:2" ht="15.75" customHeight="1" x14ac:dyDescent="0.25">
      <c r="B412" s="4"/>
    </row>
    <row r="413" spans="2:2" ht="15.75" customHeight="1" x14ac:dyDescent="0.25">
      <c r="B413" s="4"/>
    </row>
    <row r="414" spans="2:2" ht="15.75" customHeight="1" x14ac:dyDescent="0.25">
      <c r="B414" s="4"/>
    </row>
    <row r="415" spans="2:2" ht="15.75" customHeight="1" x14ac:dyDescent="0.25">
      <c r="B415" s="4"/>
    </row>
    <row r="416" spans="2:2" ht="15.75" customHeight="1" x14ac:dyDescent="0.25">
      <c r="B416" s="4"/>
    </row>
    <row r="417" spans="2:2" ht="15.75" customHeight="1" x14ac:dyDescent="0.25">
      <c r="B417" s="4"/>
    </row>
    <row r="418" spans="2:2" ht="15.75" customHeight="1" x14ac:dyDescent="0.25">
      <c r="B418" s="4"/>
    </row>
    <row r="419" spans="2:2" ht="15.75" customHeight="1" x14ac:dyDescent="0.25">
      <c r="B419" s="4"/>
    </row>
    <row r="420" spans="2:2" ht="15.75" customHeight="1" x14ac:dyDescent="0.25">
      <c r="B420" s="4"/>
    </row>
    <row r="421" spans="2:2" ht="15.75" customHeight="1" x14ac:dyDescent="0.25">
      <c r="B421" s="4"/>
    </row>
    <row r="422" spans="2:2" ht="15.75" customHeight="1" x14ac:dyDescent="0.25">
      <c r="B422" s="4"/>
    </row>
    <row r="423" spans="2:2" ht="15.75" customHeight="1" x14ac:dyDescent="0.25">
      <c r="B423" s="4"/>
    </row>
    <row r="424" spans="2:2" ht="15.75" customHeight="1" x14ac:dyDescent="0.25">
      <c r="B424" s="4"/>
    </row>
    <row r="425" spans="2:2" ht="15.75" customHeight="1" x14ac:dyDescent="0.25">
      <c r="B425" s="4"/>
    </row>
    <row r="426" spans="2:2" ht="15.75" customHeight="1" x14ac:dyDescent="0.25">
      <c r="B426" s="4"/>
    </row>
    <row r="427" spans="2:2" ht="15.75" customHeight="1" x14ac:dyDescent="0.25">
      <c r="B427" s="4"/>
    </row>
    <row r="428" spans="2:2" ht="15.75" customHeight="1" x14ac:dyDescent="0.25">
      <c r="B428" s="4"/>
    </row>
    <row r="429" spans="2:2" ht="15.75" customHeight="1" x14ac:dyDescent="0.25">
      <c r="B429" s="4"/>
    </row>
    <row r="430" spans="2:2" ht="15.75" customHeight="1" x14ac:dyDescent="0.25">
      <c r="B430" s="4"/>
    </row>
    <row r="431" spans="2:2" ht="15.75" customHeight="1" x14ac:dyDescent="0.25">
      <c r="B431" s="4"/>
    </row>
    <row r="432" spans="2:2" ht="15.75" customHeight="1" x14ac:dyDescent="0.25">
      <c r="B432" s="4"/>
    </row>
    <row r="433" spans="2:2" ht="15.75" customHeight="1" x14ac:dyDescent="0.25">
      <c r="B433" s="4"/>
    </row>
    <row r="434" spans="2:2" ht="15.75" customHeight="1" x14ac:dyDescent="0.25">
      <c r="B434" s="4"/>
    </row>
    <row r="435" spans="2:2" ht="15.75" customHeight="1" x14ac:dyDescent="0.25">
      <c r="B435" s="4"/>
    </row>
    <row r="436" spans="2:2" ht="15.75" customHeight="1" x14ac:dyDescent="0.25">
      <c r="B436" s="4"/>
    </row>
    <row r="437" spans="2:2" ht="15.75" customHeight="1" x14ac:dyDescent="0.25">
      <c r="B437" s="4"/>
    </row>
    <row r="438" spans="2:2" ht="15.75" customHeight="1" x14ac:dyDescent="0.25">
      <c r="B438" s="4"/>
    </row>
    <row r="439" spans="2:2" ht="15.75" customHeight="1" x14ac:dyDescent="0.25">
      <c r="B439" s="4"/>
    </row>
    <row r="440" spans="2:2" ht="15.75" customHeight="1" x14ac:dyDescent="0.25">
      <c r="B440" s="4"/>
    </row>
    <row r="441" spans="2:2" ht="15.75" customHeight="1" x14ac:dyDescent="0.25">
      <c r="B441" s="4"/>
    </row>
    <row r="442" spans="2:2" ht="15.75" customHeight="1" x14ac:dyDescent="0.25">
      <c r="B442" s="4"/>
    </row>
    <row r="443" spans="2:2" ht="15.75" customHeight="1" x14ac:dyDescent="0.25">
      <c r="B443" s="4"/>
    </row>
    <row r="444" spans="2:2" ht="15.75" customHeight="1" x14ac:dyDescent="0.25">
      <c r="B444" s="4"/>
    </row>
    <row r="445" spans="2:2" ht="15.75" customHeight="1" x14ac:dyDescent="0.25">
      <c r="B445" s="4"/>
    </row>
    <row r="446" spans="2:2" ht="15.75" customHeight="1" x14ac:dyDescent="0.25">
      <c r="B446" s="4"/>
    </row>
    <row r="447" spans="2:2" ht="15.75" customHeight="1" x14ac:dyDescent="0.25">
      <c r="B447" s="4"/>
    </row>
    <row r="448" spans="2:2" ht="15.75" customHeight="1" x14ac:dyDescent="0.25">
      <c r="B448" s="4"/>
    </row>
    <row r="449" spans="2:2" ht="15.75" customHeight="1" x14ac:dyDescent="0.25">
      <c r="B449" s="4"/>
    </row>
    <row r="450" spans="2:2" ht="15.75" customHeight="1" x14ac:dyDescent="0.25">
      <c r="B450" s="4"/>
    </row>
    <row r="451" spans="2:2" ht="15.75" customHeight="1" x14ac:dyDescent="0.25">
      <c r="B451" s="4"/>
    </row>
    <row r="452" spans="2:2" ht="15.75" customHeight="1" x14ac:dyDescent="0.25">
      <c r="B452" s="4"/>
    </row>
    <row r="453" spans="2:2" ht="15.75" customHeight="1" x14ac:dyDescent="0.25">
      <c r="B453" s="4"/>
    </row>
    <row r="454" spans="2:2" ht="15.75" customHeight="1" x14ac:dyDescent="0.25">
      <c r="B454" s="4"/>
    </row>
    <row r="455" spans="2:2" ht="15.75" customHeight="1" x14ac:dyDescent="0.25">
      <c r="B455" s="4"/>
    </row>
    <row r="456" spans="2:2" ht="15.75" customHeight="1" x14ac:dyDescent="0.25">
      <c r="B456" s="4"/>
    </row>
    <row r="457" spans="2:2" ht="15.75" customHeight="1" x14ac:dyDescent="0.25">
      <c r="B457" s="4"/>
    </row>
    <row r="458" spans="2:2" ht="15.75" customHeight="1" x14ac:dyDescent="0.25">
      <c r="B458" s="4"/>
    </row>
    <row r="459" spans="2:2" ht="15.75" customHeight="1" x14ac:dyDescent="0.25">
      <c r="B459" s="4"/>
    </row>
    <row r="460" spans="2:2" ht="15.75" customHeight="1" x14ac:dyDescent="0.25">
      <c r="B460" s="4"/>
    </row>
    <row r="461" spans="2:2" ht="15.75" customHeight="1" x14ac:dyDescent="0.25">
      <c r="B461" s="4"/>
    </row>
    <row r="462" spans="2:2" ht="15.75" customHeight="1" x14ac:dyDescent="0.25">
      <c r="B462" s="4"/>
    </row>
    <row r="463" spans="2:2" ht="15.75" customHeight="1" x14ac:dyDescent="0.25">
      <c r="B463" s="4"/>
    </row>
    <row r="464" spans="2:2" ht="15.75" customHeight="1" x14ac:dyDescent="0.25">
      <c r="B464" s="4"/>
    </row>
    <row r="465" spans="2:2" ht="15.75" customHeight="1" x14ac:dyDescent="0.25">
      <c r="B465" s="4"/>
    </row>
    <row r="466" spans="2:2" ht="15.75" customHeight="1" x14ac:dyDescent="0.25">
      <c r="B466" s="4"/>
    </row>
    <row r="467" spans="2:2" ht="15.75" customHeight="1" x14ac:dyDescent="0.25">
      <c r="B467" s="4"/>
    </row>
    <row r="468" spans="2:2" ht="15.75" customHeight="1" x14ac:dyDescent="0.25">
      <c r="B468" s="4"/>
    </row>
    <row r="469" spans="2:2" ht="15.75" customHeight="1" x14ac:dyDescent="0.25">
      <c r="B469" s="4"/>
    </row>
    <row r="470" spans="2:2" ht="15.75" customHeight="1" x14ac:dyDescent="0.25">
      <c r="B470" s="4"/>
    </row>
    <row r="471" spans="2:2" ht="15.75" customHeight="1" x14ac:dyDescent="0.25">
      <c r="B471" s="4"/>
    </row>
    <row r="472" spans="2:2" ht="15.75" customHeight="1" x14ac:dyDescent="0.25">
      <c r="B472" s="4"/>
    </row>
    <row r="473" spans="2:2" ht="15.75" customHeight="1" x14ac:dyDescent="0.25">
      <c r="B473" s="4"/>
    </row>
    <row r="474" spans="2:2" ht="15.75" customHeight="1" x14ac:dyDescent="0.25">
      <c r="B474" s="4"/>
    </row>
    <row r="475" spans="2:2" ht="15.75" customHeight="1" x14ac:dyDescent="0.25">
      <c r="B475" s="4"/>
    </row>
    <row r="476" spans="2:2" ht="15.75" customHeight="1" x14ac:dyDescent="0.25">
      <c r="B476" s="4"/>
    </row>
    <row r="477" spans="2:2" ht="15.75" customHeight="1" x14ac:dyDescent="0.25">
      <c r="B477" s="4"/>
    </row>
    <row r="478" spans="2:2" ht="15.75" customHeight="1" x14ac:dyDescent="0.25">
      <c r="B478" s="4"/>
    </row>
    <row r="479" spans="2:2" ht="15.75" customHeight="1" x14ac:dyDescent="0.25">
      <c r="B479" s="4"/>
    </row>
    <row r="480" spans="2:2" ht="15.75" customHeight="1" x14ac:dyDescent="0.25">
      <c r="B480" s="4"/>
    </row>
    <row r="481" spans="2:2" ht="15.75" customHeight="1" x14ac:dyDescent="0.25">
      <c r="B481" s="4"/>
    </row>
    <row r="482" spans="2:2" ht="15.75" customHeight="1" x14ac:dyDescent="0.25">
      <c r="B482" s="4"/>
    </row>
    <row r="483" spans="2:2" ht="15.75" customHeight="1" x14ac:dyDescent="0.25">
      <c r="B483" s="4"/>
    </row>
    <row r="484" spans="2:2" ht="15.75" customHeight="1" x14ac:dyDescent="0.25">
      <c r="B484" s="4"/>
    </row>
    <row r="485" spans="2:2" ht="15.75" customHeight="1" x14ac:dyDescent="0.25">
      <c r="B485" s="4"/>
    </row>
    <row r="486" spans="2:2" ht="15.75" customHeight="1" x14ac:dyDescent="0.25">
      <c r="B486" s="4"/>
    </row>
    <row r="487" spans="2:2" ht="15.75" customHeight="1" x14ac:dyDescent="0.25">
      <c r="B487" s="4"/>
    </row>
    <row r="488" spans="2:2" ht="15.75" customHeight="1" x14ac:dyDescent="0.25">
      <c r="B488" s="4"/>
    </row>
    <row r="489" spans="2:2" ht="15.75" customHeight="1" x14ac:dyDescent="0.25">
      <c r="B489" s="4"/>
    </row>
    <row r="490" spans="2:2" ht="15.75" customHeight="1" x14ac:dyDescent="0.25">
      <c r="B490" s="4"/>
    </row>
    <row r="491" spans="2:2" ht="15.75" customHeight="1" x14ac:dyDescent="0.25">
      <c r="B491" s="4"/>
    </row>
    <row r="492" spans="2:2" ht="15.75" customHeight="1" x14ac:dyDescent="0.25">
      <c r="B492" s="4"/>
    </row>
    <row r="493" spans="2:2" ht="15.75" customHeight="1" x14ac:dyDescent="0.25">
      <c r="B493" s="4"/>
    </row>
    <row r="494" spans="2:2" ht="15.75" customHeight="1" x14ac:dyDescent="0.25">
      <c r="B494" s="4"/>
    </row>
    <row r="495" spans="2:2" ht="15.75" customHeight="1" x14ac:dyDescent="0.25">
      <c r="B495" s="4"/>
    </row>
    <row r="496" spans="2:2" ht="15.75" customHeight="1" x14ac:dyDescent="0.25">
      <c r="B496" s="4"/>
    </row>
    <row r="497" spans="2:2" ht="15.75" customHeight="1" x14ac:dyDescent="0.25">
      <c r="B497" s="4"/>
    </row>
    <row r="498" spans="2:2" ht="15.75" customHeight="1" x14ac:dyDescent="0.25">
      <c r="B498" s="4"/>
    </row>
    <row r="499" spans="2:2" ht="15.75" customHeight="1" x14ac:dyDescent="0.25">
      <c r="B499" s="4"/>
    </row>
    <row r="500" spans="2:2" ht="15.75" customHeight="1" x14ac:dyDescent="0.25">
      <c r="B500" s="4"/>
    </row>
    <row r="501" spans="2:2" ht="15.75" customHeight="1" x14ac:dyDescent="0.25">
      <c r="B501" s="4"/>
    </row>
    <row r="502" spans="2:2" ht="15.75" customHeight="1" x14ac:dyDescent="0.25">
      <c r="B502" s="4"/>
    </row>
    <row r="503" spans="2:2" ht="15.75" customHeight="1" x14ac:dyDescent="0.25">
      <c r="B503" s="4"/>
    </row>
    <row r="504" spans="2:2" ht="15.75" customHeight="1" x14ac:dyDescent="0.25">
      <c r="B504" s="4"/>
    </row>
    <row r="505" spans="2:2" ht="15.75" customHeight="1" x14ac:dyDescent="0.25">
      <c r="B505" s="4"/>
    </row>
    <row r="506" spans="2:2" ht="15.75" customHeight="1" x14ac:dyDescent="0.25">
      <c r="B506" s="4"/>
    </row>
    <row r="507" spans="2:2" ht="15.75" customHeight="1" x14ac:dyDescent="0.25">
      <c r="B507" s="4"/>
    </row>
    <row r="508" spans="2:2" ht="15.75" customHeight="1" x14ac:dyDescent="0.25">
      <c r="B508" s="4"/>
    </row>
    <row r="509" spans="2:2" ht="15.75" customHeight="1" x14ac:dyDescent="0.25">
      <c r="B509" s="4"/>
    </row>
    <row r="510" spans="2:2" ht="15.75" customHeight="1" x14ac:dyDescent="0.25">
      <c r="B510" s="4"/>
    </row>
    <row r="511" spans="2:2" ht="15.75" customHeight="1" x14ac:dyDescent="0.25">
      <c r="B511" s="4"/>
    </row>
    <row r="512" spans="2:2" ht="15.75" customHeight="1" x14ac:dyDescent="0.25">
      <c r="B512" s="4"/>
    </row>
    <row r="513" spans="2:2" ht="15.75" customHeight="1" x14ac:dyDescent="0.25">
      <c r="B513" s="4"/>
    </row>
    <row r="514" spans="2:2" ht="15.75" customHeight="1" x14ac:dyDescent="0.25">
      <c r="B514" s="4"/>
    </row>
    <row r="515" spans="2:2" ht="15.75" customHeight="1" x14ac:dyDescent="0.25">
      <c r="B515" s="4"/>
    </row>
    <row r="516" spans="2:2" ht="15.75" customHeight="1" x14ac:dyDescent="0.25">
      <c r="B516" s="4"/>
    </row>
    <row r="517" spans="2:2" ht="15.75" customHeight="1" x14ac:dyDescent="0.25">
      <c r="B517" s="4"/>
    </row>
    <row r="518" spans="2:2" ht="15.75" customHeight="1" x14ac:dyDescent="0.25">
      <c r="B518" s="4"/>
    </row>
    <row r="519" spans="2:2" ht="15.75" customHeight="1" x14ac:dyDescent="0.25">
      <c r="B519" s="4"/>
    </row>
    <row r="520" spans="2:2" ht="15.75" customHeight="1" x14ac:dyDescent="0.25">
      <c r="B520" s="4"/>
    </row>
    <row r="521" spans="2:2" ht="15.75" customHeight="1" x14ac:dyDescent="0.25">
      <c r="B521" s="4"/>
    </row>
    <row r="522" spans="2:2" ht="15.75" customHeight="1" x14ac:dyDescent="0.25">
      <c r="B522" s="4"/>
    </row>
    <row r="523" spans="2:2" ht="15.75" customHeight="1" x14ac:dyDescent="0.25">
      <c r="B523" s="4"/>
    </row>
    <row r="524" spans="2:2" ht="15.75" customHeight="1" x14ac:dyDescent="0.25">
      <c r="B524" s="4"/>
    </row>
    <row r="525" spans="2:2" ht="15.75" customHeight="1" x14ac:dyDescent="0.25">
      <c r="B525" s="4"/>
    </row>
    <row r="526" spans="2:2" ht="15.75" customHeight="1" x14ac:dyDescent="0.25">
      <c r="B526" s="4"/>
    </row>
    <row r="527" spans="2:2" ht="15.75" customHeight="1" x14ac:dyDescent="0.25">
      <c r="B527" s="4"/>
    </row>
    <row r="528" spans="2:2" ht="15.75" customHeight="1" x14ac:dyDescent="0.25">
      <c r="B528" s="4"/>
    </row>
    <row r="529" spans="2:2" ht="15.75" customHeight="1" x14ac:dyDescent="0.25">
      <c r="B529" s="4"/>
    </row>
    <row r="530" spans="2:2" ht="15.75" customHeight="1" x14ac:dyDescent="0.25">
      <c r="B530" s="4"/>
    </row>
    <row r="531" spans="2:2" ht="15.75" customHeight="1" x14ac:dyDescent="0.25">
      <c r="B531" s="4"/>
    </row>
    <row r="532" spans="2:2" ht="15.75" customHeight="1" x14ac:dyDescent="0.25">
      <c r="B532" s="4"/>
    </row>
    <row r="533" spans="2:2" ht="15.75" customHeight="1" x14ac:dyDescent="0.25">
      <c r="B533" s="4"/>
    </row>
    <row r="534" spans="2:2" ht="15.75" customHeight="1" x14ac:dyDescent="0.25">
      <c r="B534" s="4"/>
    </row>
    <row r="535" spans="2:2" ht="15.75" customHeight="1" x14ac:dyDescent="0.25">
      <c r="B535" s="4"/>
    </row>
    <row r="536" spans="2:2" ht="15.75" customHeight="1" x14ac:dyDescent="0.25">
      <c r="B536" s="4"/>
    </row>
    <row r="537" spans="2:2" ht="15.75" customHeight="1" x14ac:dyDescent="0.25">
      <c r="B537" s="4"/>
    </row>
    <row r="538" spans="2:2" ht="15.75" customHeight="1" x14ac:dyDescent="0.25">
      <c r="B538" s="4"/>
    </row>
    <row r="539" spans="2:2" ht="15.75" customHeight="1" x14ac:dyDescent="0.25">
      <c r="B539" s="4"/>
    </row>
    <row r="540" spans="2:2" ht="15.75" customHeight="1" x14ac:dyDescent="0.25">
      <c r="B540" s="4"/>
    </row>
    <row r="541" spans="2:2" ht="15.75" customHeight="1" x14ac:dyDescent="0.25">
      <c r="B541" s="4"/>
    </row>
    <row r="542" spans="2:2" ht="15.75" customHeight="1" x14ac:dyDescent="0.25">
      <c r="B542" s="4"/>
    </row>
    <row r="543" spans="2:2" ht="15.75" customHeight="1" x14ac:dyDescent="0.25">
      <c r="B543" s="4"/>
    </row>
    <row r="544" spans="2:2" ht="15.75" customHeight="1" x14ac:dyDescent="0.25">
      <c r="B544" s="4"/>
    </row>
    <row r="545" spans="2:2" ht="15.75" customHeight="1" x14ac:dyDescent="0.25">
      <c r="B545" s="4"/>
    </row>
    <row r="546" spans="2:2" ht="15.75" customHeight="1" x14ac:dyDescent="0.25">
      <c r="B546" s="4"/>
    </row>
    <row r="547" spans="2:2" ht="15.75" customHeight="1" x14ac:dyDescent="0.25">
      <c r="B547" s="4"/>
    </row>
    <row r="548" spans="2:2" ht="15.75" customHeight="1" x14ac:dyDescent="0.25">
      <c r="B548" s="4"/>
    </row>
    <row r="549" spans="2:2" ht="15.75" customHeight="1" x14ac:dyDescent="0.25">
      <c r="B549" s="4"/>
    </row>
    <row r="550" spans="2:2" ht="15.75" customHeight="1" x14ac:dyDescent="0.25">
      <c r="B550" s="4"/>
    </row>
    <row r="551" spans="2:2" ht="15.75" customHeight="1" x14ac:dyDescent="0.25">
      <c r="B551" s="4"/>
    </row>
    <row r="552" spans="2:2" ht="15.75" customHeight="1" x14ac:dyDescent="0.25">
      <c r="B552" s="4"/>
    </row>
    <row r="553" spans="2:2" ht="15.75" customHeight="1" x14ac:dyDescent="0.25">
      <c r="B553" s="4"/>
    </row>
    <row r="554" spans="2:2" ht="15.75" customHeight="1" x14ac:dyDescent="0.25">
      <c r="B554" s="4"/>
    </row>
    <row r="555" spans="2:2" ht="15.75" customHeight="1" x14ac:dyDescent="0.25">
      <c r="B555" s="4"/>
    </row>
    <row r="556" spans="2:2" ht="15.75" customHeight="1" x14ac:dyDescent="0.25">
      <c r="B556" s="4"/>
    </row>
    <row r="557" spans="2:2" ht="15.75" customHeight="1" x14ac:dyDescent="0.25">
      <c r="B557" s="4"/>
    </row>
    <row r="558" spans="2:2" ht="15.75" customHeight="1" x14ac:dyDescent="0.25">
      <c r="B558" s="4"/>
    </row>
    <row r="559" spans="2:2" ht="15.75" customHeight="1" x14ac:dyDescent="0.25">
      <c r="B559" s="4"/>
    </row>
    <row r="560" spans="2:2" ht="15.75" customHeight="1" x14ac:dyDescent="0.25">
      <c r="B560" s="4"/>
    </row>
    <row r="561" spans="2:2" ht="15.75" customHeight="1" x14ac:dyDescent="0.25">
      <c r="B561" s="4"/>
    </row>
    <row r="562" spans="2:2" ht="15.75" customHeight="1" x14ac:dyDescent="0.25">
      <c r="B562" s="4"/>
    </row>
    <row r="563" spans="2:2" ht="15.75" customHeight="1" x14ac:dyDescent="0.25">
      <c r="B563" s="4"/>
    </row>
    <row r="564" spans="2:2" ht="15.75" customHeight="1" x14ac:dyDescent="0.25">
      <c r="B564" s="4"/>
    </row>
    <row r="565" spans="2:2" ht="15.75" customHeight="1" x14ac:dyDescent="0.25">
      <c r="B565" s="4"/>
    </row>
    <row r="566" spans="2:2" ht="15.75" customHeight="1" x14ac:dyDescent="0.25">
      <c r="B566" s="4"/>
    </row>
    <row r="567" spans="2:2" ht="15.75" customHeight="1" x14ac:dyDescent="0.25">
      <c r="B567" s="4"/>
    </row>
    <row r="568" spans="2:2" ht="15.75" customHeight="1" x14ac:dyDescent="0.25">
      <c r="B568" s="4"/>
    </row>
    <row r="569" spans="2:2" ht="15.75" customHeight="1" x14ac:dyDescent="0.25">
      <c r="B569" s="4"/>
    </row>
    <row r="570" spans="2:2" ht="15.75" customHeight="1" x14ac:dyDescent="0.25">
      <c r="B570" s="4"/>
    </row>
    <row r="571" spans="2:2" ht="15.75" customHeight="1" x14ac:dyDescent="0.25">
      <c r="B571" s="4"/>
    </row>
    <row r="572" spans="2:2" ht="15.75" customHeight="1" x14ac:dyDescent="0.25">
      <c r="B572" s="4"/>
    </row>
    <row r="573" spans="2:2" ht="15.75" customHeight="1" x14ac:dyDescent="0.25">
      <c r="B573" s="4"/>
    </row>
    <row r="574" spans="2:2" ht="15.75" customHeight="1" x14ac:dyDescent="0.25">
      <c r="B574" s="4"/>
    </row>
    <row r="575" spans="2:2" ht="15.75" customHeight="1" x14ac:dyDescent="0.25">
      <c r="B575" s="4"/>
    </row>
    <row r="576" spans="2:2" ht="15.75" customHeight="1" x14ac:dyDescent="0.25">
      <c r="B576" s="4"/>
    </row>
    <row r="577" spans="2:2" ht="15.75" customHeight="1" x14ac:dyDescent="0.25">
      <c r="B577" s="4"/>
    </row>
    <row r="578" spans="2:2" ht="15.75" customHeight="1" x14ac:dyDescent="0.25">
      <c r="B578" s="4"/>
    </row>
    <row r="579" spans="2:2" ht="15.75" customHeight="1" x14ac:dyDescent="0.25">
      <c r="B579" s="4"/>
    </row>
    <row r="580" spans="2:2" ht="15.75" customHeight="1" x14ac:dyDescent="0.25">
      <c r="B580" s="4"/>
    </row>
    <row r="581" spans="2:2" ht="15.75" customHeight="1" x14ac:dyDescent="0.25">
      <c r="B581" s="4"/>
    </row>
    <row r="582" spans="2:2" ht="15.75" customHeight="1" x14ac:dyDescent="0.25">
      <c r="B582" s="4"/>
    </row>
    <row r="583" spans="2:2" ht="15.75" customHeight="1" x14ac:dyDescent="0.25">
      <c r="B583" s="4"/>
    </row>
    <row r="584" spans="2:2" ht="15.75" customHeight="1" x14ac:dyDescent="0.25">
      <c r="B584" s="4"/>
    </row>
    <row r="585" spans="2:2" ht="15.75" customHeight="1" x14ac:dyDescent="0.25">
      <c r="B585" s="4"/>
    </row>
    <row r="586" spans="2:2" ht="15.75" customHeight="1" x14ac:dyDescent="0.25">
      <c r="B586" s="4"/>
    </row>
    <row r="587" spans="2:2" ht="15.75" customHeight="1" x14ac:dyDescent="0.25">
      <c r="B587" s="4"/>
    </row>
    <row r="588" spans="2:2" ht="15.75" customHeight="1" x14ac:dyDescent="0.25">
      <c r="B588" s="4"/>
    </row>
    <row r="589" spans="2:2" ht="15.75" customHeight="1" x14ac:dyDescent="0.25">
      <c r="B589" s="4"/>
    </row>
    <row r="590" spans="2:2" ht="15.75" customHeight="1" x14ac:dyDescent="0.25">
      <c r="B590" s="4"/>
    </row>
    <row r="591" spans="2:2" ht="15.75" customHeight="1" x14ac:dyDescent="0.25">
      <c r="B591" s="4"/>
    </row>
    <row r="592" spans="2:2" ht="15.75" customHeight="1" x14ac:dyDescent="0.25">
      <c r="B592" s="4"/>
    </row>
    <row r="593" spans="2:2" ht="15.75" customHeight="1" x14ac:dyDescent="0.25">
      <c r="B593" s="4"/>
    </row>
    <row r="594" spans="2:2" ht="15.75" customHeight="1" x14ac:dyDescent="0.25">
      <c r="B594" s="4"/>
    </row>
    <row r="595" spans="2:2" ht="15.75" customHeight="1" x14ac:dyDescent="0.25">
      <c r="B595" s="4"/>
    </row>
    <row r="596" spans="2:2" ht="15.75" customHeight="1" x14ac:dyDescent="0.25">
      <c r="B596" s="4"/>
    </row>
    <row r="597" spans="2:2" ht="15.75" customHeight="1" x14ac:dyDescent="0.25">
      <c r="B597" s="4"/>
    </row>
    <row r="598" spans="2:2" ht="15.75" customHeight="1" x14ac:dyDescent="0.25">
      <c r="B598" s="4"/>
    </row>
    <row r="599" spans="2:2" ht="15.75" customHeight="1" x14ac:dyDescent="0.25">
      <c r="B599" s="4"/>
    </row>
    <row r="600" spans="2:2" ht="15.75" customHeight="1" x14ac:dyDescent="0.25">
      <c r="B600" s="4"/>
    </row>
    <row r="601" spans="2:2" ht="15.75" customHeight="1" x14ac:dyDescent="0.25">
      <c r="B601" s="4"/>
    </row>
    <row r="602" spans="2:2" ht="15.75" customHeight="1" x14ac:dyDescent="0.25">
      <c r="B602" s="4"/>
    </row>
    <row r="603" spans="2:2" ht="15.75" customHeight="1" x14ac:dyDescent="0.25">
      <c r="B603" s="4"/>
    </row>
    <row r="604" spans="2:2" ht="15.75" customHeight="1" x14ac:dyDescent="0.25">
      <c r="B604" s="4"/>
    </row>
    <row r="605" spans="2:2" ht="15.75" customHeight="1" x14ac:dyDescent="0.25">
      <c r="B605" s="4"/>
    </row>
    <row r="606" spans="2:2" ht="15.75" customHeight="1" x14ac:dyDescent="0.25">
      <c r="B606" s="4"/>
    </row>
    <row r="607" spans="2:2" ht="15.75" customHeight="1" x14ac:dyDescent="0.25">
      <c r="B607" s="4"/>
    </row>
    <row r="608" spans="2:2" ht="15.75" customHeight="1" x14ac:dyDescent="0.25">
      <c r="B608" s="4"/>
    </row>
    <row r="609" spans="2:2" ht="15.75" customHeight="1" x14ac:dyDescent="0.25">
      <c r="B609" s="4"/>
    </row>
    <row r="610" spans="2:2" ht="15.75" customHeight="1" x14ac:dyDescent="0.25">
      <c r="B610" s="4"/>
    </row>
    <row r="611" spans="2:2" ht="15.75" customHeight="1" x14ac:dyDescent="0.25">
      <c r="B611" s="4"/>
    </row>
    <row r="612" spans="2:2" ht="15.75" customHeight="1" x14ac:dyDescent="0.25">
      <c r="B612" s="4"/>
    </row>
    <row r="613" spans="2:2" ht="15.75" customHeight="1" x14ac:dyDescent="0.25">
      <c r="B613" s="4"/>
    </row>
    <row r="614" spans="2:2" ht="15.75" customHeight="1" x14ac:dyDescent="0.25">
      <c r="B614" s="4"/>
    </row>
    <row r="615" spans="2:2" ht="15.75" customHeight="1" x14ac:dyDescent="0.25">
      <c r="B615" s="4"/>
    </row>
    <row r="616" spans="2:2" ht="15.75" customHeight="1" x14ac:dyDescent="0.25">
      <c r="B616" s="4"/>
    </row>
    <row r="617" spans="2:2" ht="15.75" customHeight="1" x14ac:dyDescent="0.25">
      <c r="B617" s="4"/>
    </row>
    <row r="618" spans="2:2" ht="15.75" customHeight="1" x14ac:dyDescent="0.25">
      <c r="B618" s="4"/>
    </row>
    <row r="619" spans="2:2" ht="15.75" customHeight="1" x14ac:dyDescent="0.25">
      <c r="B619" s="4"/>
    </row>
    <row r="620" spans="2:2" ht="15.75" customHeight="1" x14ac:dyDescent="0.25">
      <c r="B620" s="4"/>
    </row>
    <row r="621" spans="2:2" ht="15.75" customHeight="1" x14ac:dyDescent="0.25">
      <c r="B621" s="4"/>
    </row>
    <row r="622" spans="2:2" ht="15.75" customHeight="1" x14ac:dyDescent="0.25">
      <c r="B622" s="4"/>
    </row>
    <row r="623" spans="2:2" ht="15.75" customHeight="1" x14ac:dyDescent="0.25">
      <c r="B623" s="4"/>
    </row>
    <row r="624" spans="2:2" ht="15.75" customHeight="1" x14ac:dyDescent="0.25">
      <c r="B624" s="4"/>
    </row>
    <row r="625" spans="2:2" ht="15.75" customHeight="1" x14ac:dyDescent="0.25">
      <c r="B625" s="4"/>
    </row>
    <row r="626" spans="2:2" ht="15.75" customHeight="1" x14ac:dyDescent="0.25">
      <c r="B626" s="4"/>
    </row>
    <row r="627" spans="2:2" ht="15.75" customHeight="1" x14ac:dyDescent="0.25">
      <c r="B627" s="4"/>
    </row>
    <row r="628" spans="2:2" ht="15.75" customHeight="1" x14ac:dyDescent="0.25">
      <c r="B628" s="4"/>
    </row>
    <row r="629" spans="2:2" ht="15.75" customHeight="1" x14ac:dyDescent="0.25">
      <c r="B629" s="4"/>
    </row>
    <row r="630" spans="2:2" ht="15.75" customHeight="1" x14ac:dyDescent="0.25">
      <c r="B630" s="4"/>
    </row>
    <row r="631" spans="2:2" ht="15.75" customHeight="1" x14ac:dyDescent="0.25">
      <c r="B631" s="4"/>
    </row>
    <row r="632" spans="2:2" ht="15.75" customHeight="1" x14ac:dyDescent="0.25">
      <c r="B632" s="4"/>
    </row>
    <row r="633" spans="2:2" ht="15.75" customHeight="1" x14ac:dyDescent="0.25">
      <c r="B633" s="4"/>
    </row>
    <row r="634" spans="2:2" ht="15.75" customHeight="1" x14ac:dyDescent="0.25">
      <c r="B634" s="4"/>
    </row>
    <row r="635" spans="2:2" ht="15.75" customHeight="1" x14ac:dyDescent="0.25">
      <c r="B635" s="4"/>
    </row>
    <row r="636" spans="2:2" ht="15.75" customHeight="1" x14ac:dyDescent="0.25">
      <c r="B636" s="4"/>
    </row>
    <row r="637" spans="2:2" ht="15.75" customHeight="1" x14ac:dyDescent="0.25">
      <c r="B637" s="4"/>
    </row>
    <row r="638" spans="2:2" ht="15.75" customHeight="1" x14ac:dyDescent="0.25">
      <c r="B638" s="4"/>
    </row>
    <row r="639" spans="2:2" ht="15.75" customHeight="1" x14ac:dyDescent="0.25">
      <c r="B639" s="4"/>
    </row>
    <row r="640" spans="2:2" ht="15.75" customHeight="1" x14ac:dyDescent="0.25">
      <c r="B640" s="4"/>
    </row>
    <row r="641" spans="2:2" ht="15.75" customHeight="1" x14ac:dyDescent="0.25">
      <c r="B641" s="4"/>
    </row>
    <row r="642" spans="2:2" ht="15.75" customHeight="1" x14ac:dyDescent="0.25">
      <c r="B642" s="4"/>
    </row>
    <row r="643" spans="2:2" ht="15.75" customHeight="1" x14ac:dyDescent="0.25">
      <c r="B643" s="4"/>
    </row>
    <row r="644" spans="2:2" ht="15.75" customHeight="1" x14ac:dyDescent="0.25">
      <c r="B644" s="4"/>
    </row>
    <row r="645" spans="2:2" ht="15.75" customHeight="1" x14ac:dyDescent="0.25">
      <c r="B645" s="4"/>
    </row>
    <row r="646" spans="2:2" ht="15.75" customHeight="1" x14ac:dyDescent="0.25">
      <c r="B646" s="4"/>
    </row>
    <row r="647" spans="2:2" ht="15.75" customHeight="1" x14ac:dyDescent="0.25">
      <c r="B647" s="4"/>
    </row>
    <row r="648" spans="2:2" ht="15.75" customHeight="1" x14ac:dyDescent="0.25">
      <c r="B648" s="4"/>
    </row>
    <row r="649" spans="2:2" ht="15.75" customHeight="1" x14ac:dyDescent="0.25">
      <c r="B649" s="4"/>
    </row>
    <row r="650" spans="2:2" ht="15.75" customHeight="1" x14ac:dyDescent="0.25">
      <c r="B650" s="4"/>
    </row>
    <row r="651" spans="2:2" ht="15.75" customHeight="1" x14ac:dyDescent="0.25">
      <c r="B651" s="4"/>
    </row>
    <row r="652" spans="2:2" ht="15.75" customHeight="1" x14ac:dyDescent="0.25">
      <c r="B652" s="4"/>
    </row>
    <row r="653" spans="2:2" ht="15.75" customHeight="1" x14ac:dyDescent="0.25">
      <c r="B653" s="4"/>
    </row>
    <row r="654" spans="2:2" ht="15.75" customHeight="1" x14ac:dyDescent="0.25">
      <c r="B654" s="4"/>
    </row>
    <row r="655" spans="2:2" ht="15.75" customHeight="1" x14ac:dyDescent="0.25">
      <c r="B655" s="4"/>
    </row>
    <row r="656" spans="2:2" ht="15.75" customHeight="1" x14ac:dyDescent="0.25">
      <c r="B656" s="4"/>
    </row>
    <row r="657" spans="2:2" ht="15.75" customHeight="1" x14ac:dyDescent="0.25">
      <c r="B657" s="4"/>
    </row>
    <row r="658" spans="2:2" ht="15.75" customHeight="1" x14ac:dyDescent="0.25">
      <c r="B658" s="4"/>
    </row>
    <row r="659" spans="2:2" ht="15.75" customHeight="1" x14ac:dyDescent="0.25">
      <c r="B659" s="4"/>
    </row>
    <row r="660" spans="2:2" ht="15.75" customHeight="1" x14ac:dyDescent="0.25">
      <c r="B660" s="4"/>
    </row>
    <row r="661" spans="2:2" ht="15.75" customHeight="1" x14ac:dyDescent="0.25">
      <c r="B661" s="4"/>
    </row>
    <row r="662" spans="2:2" ht="15.75" customHeight="1" x14ac:dyDescent="0.25">
      <c r="B662" s="4"/>
    </row>
    <row r="663" spans="2:2" ht="15.75" customHeight="1" x14ac:dyDescent="0.25">
      <c r="B663" s="4"/>
    </row>
    <row r="664" spans="2:2" ht="15.75" customHeight="1" x14ac:dyDescent="0.25">
      <c r="B664" s="4"/>
    </row>
    <row r="665" spans="2:2" ht="15.75" customHeight="1" x14ac:dyDescent="0.25">
      <c r="B665" s="4"/>
    </row>
    <row r="666" spans="2:2" ht="15.75" customHeight="1" x14ac:dyDescent="0.25">
      <c r="B666" s="4"/>
    </row>
    <row r="667" spans="2:2" ht="15.75" customHeight="1" x14ac:dyDescent="0.25">
      <c r="B667" s="4"/>
    </row>
    <row r="668" spans="2:2" ht="15.75" customHeight="1" x14ac:dyDescent="0.25">
      <c r="B668" s="4"/>
    </row>
    <row r="669" spans="2:2" ht="15.75" customHeight="1" x14ac:dyDescent="0.25">
      <c r="B669" s="4"/>
    </row>
    <row r="670" spans="2:2" ht="15.75" customHeight="1" x14ac:dyDescent="0.25">
      <c r="B670" s="4"/>
    </row>
    <row r="671" spans="2:2" ht="15.75" customHeight="1" x14ac:dyDescent="0.25">
      <c r="B671" s="4"/>
    </row>
    <row r="672" spans="2:2" ht="15.75" customHeight="1" x14ac:dyDescent="0.25">
      <c r="B672" s="4"/>
    </row>
    <row r="673" spans="2:2" ht="15.75" customHeight="1" x14ac:dyDescent="0.25">
      <c r="B673" s="4"/>
    </row>
    <row r="674" spans="2:2" ht="15.75" customHeight="1" x14ac:dyDescent="0.25">
      <c r="B674" s="4"/>
    </row>
    <row r="675" spans="2:2" ht="15.75" customHeight="1" x14ac:dyDescent="0.25">
      <c r="B675" s="4"/>
    </row>
    <row r="676" spans="2:2" ht="15.75" customHeight="1" x14ac:dyDescent="0.25">
      <c r="B676" s="4"/>
    </row>
    <row r="677" spans="2:2" ht="15.75" customHeight="1" x14ac:dyDescent="0.25">
      <c r="B677" s="4"/>
    </row>
    <row r="678" spans="2:2" ht="15.75" customHeight="1" x14ac:dyDescent="0.25">
      <c r="B678" s="4"/>
    </row>
    <row r="679" spans="2:2" ht="15.75" customHeight="1" x14ac:dyDescent="0.25">
      <c r="B679" s="4"/>
    </row>
    <row r="680" spans="2:2" ht="15.75" customHeight="1" x14ac:dyDescent="0.25">
      <c r="B680" s="4"/>
    </row>
    <row r="681" spans="2:2" ht="15.75" customHeight="1" x14ac:dyDescent="0.25">
      <c r="B681" s="4"/>
    </row>
    <row r="682" spans="2:2" ht="15.75" customHeight="1" x14ac:dyDescent="0.25">
      <c r="B682" s="4"/>
    </row>
    <row r="683" spans="2:2" ht="15.75" customHeight="1" x14ac:dyDescent="0.25">
      <c r="B683" s="4"/>
    </row>
    <row r="684" spans="2:2" ht="15.75" customHeight="1" x14ac:dyDescent="0.25">
      <c r="B684" s="4"/>
    </row>
    <row r="685" spans="2:2" ht="15.75" customHeight="1" x14ac:dyDescent="0.25">
      <c r="B685" s="4"/>
    </row>
    <row r="686" spans="2:2" ht="15.75" customHeight="1" x14ac:dyDescent="0.25">
      <c r="B686" s="4"/>
    </row>
    <row r="687" spans="2:2" ht="15.75" customHeight="1" x14ac:dyDescent="0.25">
      <c r="B687" s="4"/>
    </row>
    <row r="688" spans="2:2" ht="15.75" customHeight="1" x14ac:dyDescent="0.25">
      <c r="B688" s="4"/>
    </row>
    <row r="689" spans="2:2" ht="15.75" customHeight="1" x14ac:dyDescent="0.25">
      <c r="B689" s="4"/>
    </row>
    <row r="690" spans="2:2" ht="15.75" customHeight="1" x14ac:dyDescent="0.25">
      <c r="B690" s="4"/>
    </row>
    <row r="691" spans="2:2" ht="15.75" customHeight="1" x14ac:dyDescent="0.25">
      <c r="B691" s="4"/>
    </row>
    <row r="692" spans="2:2" ht="15.75" customHeight="1" x14ac:dyDescent="0.25">
      <c r="B692" s="4"/>
    </row>
    <row r="693" spans="2:2" ht="15.75" customHeight="1" x14ac:dyDescent="0.25">
      <c r="B693" s="4"/>
    </row>
    <row r="694" spans="2:2" ht="15.75" customHeight="1" x14ac:dyDescent="0.25">
      <c r="B694" s="4"/>
    </row>
    <row r="695" spans="2:2" ht="15.75" customHeight="1" x14ac:dyDescent="0.25">
      <c r="B695" s="4"/>
    </row>
    <row r="696" spans="2:2" ht="15.75" customHeight="1" x14ac:dyDescent="0.25">
      <c r="B696" s="4"/>
    </row>
    <row r="697" spans="2:2" ht="15.75" customHeight="1" x14ac:dyDescent="0.25">
      <c r="B697" s="4"/>
    </row>
    <row r="698" spans="2:2" ht="15.75" customHeight="1" x14ac:dyDescent="0.25">
      <c r="B698" s="4"/>
    </row>
    <row r="699" spans="2:2" ht="15.75" customHeight="1" x14ac:dyDescent="0.25">
      <c r="B699" s="4"/>
    </row>
    <row r="700" spans="2:2" ht="15.75" customHeight="1" x14ac:dyDescent="0.25">
      <c r="B700" s="4"/>
    </row>
    <row r="701" spans="2:2" ht="15.75" customHeight="1" x14ac:dyDescent="0.25">
      <c r="B701" s="4"/>
    </row>
    <row r="702" spans="2:2" ht="15.75" customHeight="1" x14ac:dyDescent="0.25">
      <c r="B702" s="4"/>
    </row>
    <row r="703" spans="2:2" ht="15.75" customHeight="1" x14ac:dyDescent="0.25">
      <c r="B703" s="4"/>
    </row>
    <row r="704" spans="2:2" ht="15.75" customHeight="1" x14ac:dyDescent="0.25">
      <c r="B704" s="4"/>
    </row>
    <row r="705" spans="2:2" ht="15.75" customHeight="1" x14ac:dyDescent="0.25">
      <c r="B705" s="4"/>
    </row>
    <row r="706" spans="2:2" ht="15.75" customHeight="1" x14ac:dyDescent="0.25">
      <c r="B706" s="4"/>
    </row>
    <row r="707" spans="2:2" ht="15.75" customHeight="1" x14ac:dyDescent="0.25">
      <c r="B707" s="4"/>
    </row>
    <row r="708" spans="2:2" ht="15.75" customHeight="1" x14ac:dyDescent="0.25">
      <c r="B708" s="4"/>
    </row>
    <row r="709" spans="2:2" ht="15.75" customHeight="1" x14ac:dyDescent="0.25">
      <c r="B709" s="4"/>
    </row>
    <row r="710" spans="2:2" ht="15.75" customHeight="1" x14ac:dyDescent="0.25">
      <c r="B710" s="4"/>
    </row>
    <row r="711" spans="2:2" ht="15.75" customHeight="1" x14ac:dyDescent="0.25">
      <c r="B711" s="4"/>
    </row>
    <row r="712" spans="2:2" ht="15.75" customHeight="1" x14ac:dyDescent="0.25">
      <c r="B712" s="4"/>
    </row>
    <row r="713" spans="2:2" ht="15.75" customHeight="1" x14ac:dyDescent="0.25">
      <c r="B713" s="4"/>
    </row>
    <row r="714" spans="2:2" ht="15.75" customHeight="1" x14ac:dyDescent="0.25">
      <c r="B714" s="4"/>
    </row>
    <row r="715" spans="2:2" ht="15.75" customHeight="1" x14ac:dyDescent="0.25">
      <c r="B715" s="4"/>
    </row>
    <row r="716" spans="2:2" ht="15.75" customHeight="1" x14ac:dyDescent="0.25">
      <c r="B716" s="4"/>
    </row>
    <row r="717" spans="2:2" ht="15.75" customHeight="1" x14ac:dyDescent="0.25">
      <c r="B717" s="4"/>
    </row>
    <row r="718" spans="2:2" ht="15.75" customHeight="1" x14ac:dyDescent="0.25">
      <c r="B718" s="4"/>
    </row>
    <row r="719" spans="2:2" ht="15.75" customHeight="1" x14ac:dyDescent="0.25">
      <c r="B719" s="4"/>
    </row>
    <row r="720" spans="2:2" ht="15.75" customHeight="1" x14ac:dyDescent="0.25">
      <c r="B720" s="4"/>
    </row>
    <row r="721" spans="2:2" ht="15.75" customHeight="1" x14ac:dyDescent="0.25">
      <c r="B721" s="4"/>
    </row>
    <row r="722" spans="2:2" ht="15.75" customHeight="1" x14ac:dyDescent="0.25">
      <c r="B722" s="4"/>
    </row>
    <row r="723" spans="2:2" ht="15.75" customHeight="1" x14ac:dyDescent="0.25">
      <c r="B723" s="4"/>
    </row>
    <row r="724" spans="2:2" ht="15.75" customHeight="1" x14ac:dyDescent="0.25">
      <c r="B724" s="4"/>
    </row>
    <row r="725" spans="2:2" ht="15.75" customHeight="1" x14ac:dyDescent="0.25">
      <c r="B725" s="4"/>
    </row>
    <row r="726" spans="2:2" ht="15.75" customHeight="1" x14ac:dyDescent="0.25">
      <c r="B726" s="4"/>
    </row>
    <row r="727" spans="2:2" ht="15.75" customHeight="1" x14ac:dyDescent="0.25">
      <c r="B727" s="4"/>
    </row>
    <row r="728" spans="2:2" ht="15.75" customHeight="1" x14ac:dyDescent="0.25">
      <c r="B728" s="4"/>
    </row>
    <row r="729" spans="2:2" ht="15.75" customHeight="1" x14ac:dyDescent="0.25">
      <c r="B729" s="4"/>
    </row>
    <row r="730" spans="2:2" ht="15.75" customHeight="1" x14ac:dyDescent="0.25">
      <c r="B730" s="4"/>
    </row>
    <row r="731" spans="2:2" ht="15.75" customHeight="1" x14ac:dyDescent="0.25">
      <c r="B731" s="4"/>
    </row>
    <row r="732" spans="2:2" ht="15.75" customHeight="1" x14ac:dyDescent="0.25">
      <c r="B732" s="4"/>
    </row>
    <row r="733" spans="2:2" ht="15.75" customHeight="1" x14ac:dyDescent="0.25">
      <c r="B733" s="4"/>
    </row>
    <row r="734" spans="2:2" ht="15.75" customHeight="1" x14ac:dyDescent="0.25">
      <c r="B734" s="4"/>
    </row>
    <row r="735" spans="2:2" ht="15.75" customHeight="1" x14ac:dyDescent="0.25">
      <c r="B735" s="4"/>
    </row>
    <row r="736" spans="2:2" ht="15.75" customHeight="1" x14ac:dyDescent="0.25">
      <c r="B736" s="4"/>
    </row>
    <row r="737" spans="2:2" ht="15.75" customHeight="1" x14ac:dyDescent="0.25">
      <c r="B737" s="4"/>
    </row>
    <row r="738" spans="2:2" ht="15.75" customHeight="1" x14ac:dyDescent="0.25">
      <c r="B738" s="4"/>
    </row>
    <row r="739" spans="2:2" ht="15.75" customHeight="1" x14ac:dyDescent="0.25">
      <c r="B739" s="4"/>
    </row>
    <row r="740" spans="2:2" ht="15.75" customHeight="1" x14ac:dyDescent="0.25">
      <c r="B740" s="4"/>
    </row>
    <row r="741" spans="2:2" ht="15.75" customHeight="1" x14ac:dyDescent="0.25">
      <c r="B741" s="4"/>
    </row>
    <row r="742" spans="2:2" ht="15.75" customHeight="1" x14ac:dyDescent="0.25">
      <c r="B742" s="4"/>
    </row>
    <row r="743" spans="2:2" ht="15.75" customHeight="1" x14ac:dyDescent="0.25">
      <c r="B743" s="4"/>
    </row>
    <row r="744" spans="2:2" ht="15.75" customHeight="1" x14ac:dyDescent="0.25">
      <c r="B744" s="4"/>
    </row>
    <row r="745" spans="2:2" ht="15.75" customHeight="1" x14ac:dyDescent="0.25">
      <c r="B745" s="4"/>
    </row>
    <row r="746" spans="2:2" ht="15.75" customHeight="1" x14ac:dyDescent="0.25">
      <c r="B746" s="4"/>
    </row>
    <row r="747" spans="2:2" ht="15.75" customHeight="1" x14ac:dyDescent="0.25">
      <c r="B747" s="4"/>
    </row>
    <row r="748" spans="2:2" ht="15.75" customHeight="1" x14ac:dyDescent="0.25">
      <c r="B748" s="4"/>
    </row>
    <row r="749" spans="2:2" ht="15.75" customHeight="1" x14ac:dyDescent="0.25">
      <c r="B749" s="4"/>
    </row>
    <row r="750" spans="2:2" ht="15.75" customHeight="1" x14ac:dyDescent="0.25">
      <c r="B750" s="4"/>
    </row>
    <row r="751" spans="2:2" ht="15.75" customHeight="1" x14ac:dyDescent="0.25">
      <c r="B751" s="4"/>
    </row>
    <row r="752" spans="2:2" ht="15.75" customHeight="1" x14ac:dyDescent="0.25">
      <c r="B752" s="4"/>
    </row>
    <row r="753" spans="2:2" ht="15.75" customHeight="1" x14ac:dyDescent="0.25">
      <c r="B753" s="4"/>
    </row>
    <row r="754" spans="2:2" ht="15.75" customHeight="1" x14ac:dyDescent="0.25">
      <c r="B754" s="4"/>
    </row>
    <row r="755" spans="2:2" ht="15.75" customHeight="1" x14ac:dyDescent="0.25">
      <c r="B755" s="4"/>
    </row>
    <row r="756" spans="2:2" ht="15.75" customHeight="1" x14ac:dyDescent="0.25">
      <c r="B756" s="4"/>
    </row>
    <row r="757" spans="2:2" ht="15.75" customHeight="1" x14ac:dyDescent="0.25">
      <c r="B757" s="4"/>
    </row>
    <row r="758" spans="2:2" ht="15.75" customHeight="1" x14ac:dyDescent="0.25">
      <c r="B758" s="4"/>
    </row>
    <row r="759" spans="2:2" ht="15.75" customHeight="1" x14ac:dyDescent="0.25">
      <c r="B759" s="4"/>
    </row>
    <row r="760" spans="2:2" ht="15.75" customHeight="1" x14ac:dyDescent="0.25">
      <c r="B760" s="4"/>
    </row>
    <row r="761" spans="2:2" ht="15.75" customHeight="1" x14ac:dyDescent="0.25">
      <c r="B761" s="4"/>
    </row>
    <row r="762" spans="2:2" ht="15.75" customHeight="1" x14ac:dyDescent="0.25">
      <c r="B762" s="4"/>
    </row>
    <row r="763" spans="2:2" ht="15.75" customHeight="1" x14ac:dyDescent="0.25">
      <c r="B763" s="4"/>
    </row>
    <row r="764" spans="2:2" ht="15.75" customHeight="1" x14ac:dyDescent="0.25">
      <c r="B764" s="4"/>
    </row>
    <row r="765" spans="2:2" ht="15.75" customHeight="1" x14ac:dyDescent="0.25">
      <c r="B765" s="4"/>
    </row>
    <row r="766" spans="2:2" ht="15.75" customHeight="1" x14ac:dyDescent="0.25">
      <c r="B766" s="4"/>
    </row>
    <row r="767" spans="2:2" ht="15.75" customHeight="1" x14ac:dyDescent="0.25">
      <c r="B767" s="4"/>
    </row>
    <row r="768" spans="2:2" ht="15.75" customHeight="1" x14ac:dyDescent="0.25">
      <c r="B768" s="4"/>
    </row>
    <row r="769" spans="2:2" ht="15.75" customHeight="1" x14ac:dyDescent="0.25">
      <c r="B769" s="4"/>
    </row>
    <row r="770" spans="2:2" ht="15.75" customHeight="1" x14ac:dyDescent="0.25">
      <c r="B770" s="4"/>
    </row>
    <row r="771" spans="2:2" ht="15.75" customHeight="1" x14ac:dyDescent="0.25">
      <c r="B771" s="4"/>
    </row>
    <row r="772" spans="2:2" ht="15.75" customHeight="1" x14ac:dyDescent="0.25">
      <c r="B772" s="4"/>
    </row>
    <row r="773" spans="2:2" ht="15.75" customHeight="1" x14ac:dyDescent="0.25">
      <c r="B773" s="4"/>
    </row>
    <row r="774" spans="2:2" ht="15.75" customHeight="1" x14ac:dyDescent="0.25">
      <c r="B774" s="4"/>
    </row>
    <row r="775" spans="2:2" ht="15.75" customHeight="1" x14ac:dyDescent="0.25">
      <c r="B775" s="4"/>
    </row>
    <row r="776" spans="2:2" ht="15.75" customHeight="1" x14ac:dyDescent="0.25">
      <c r="B776" s="4"/>
    </row>
    <row r="777" spans="2:2" ht="15.75" customHeight="1" x14ac:dyDescent="0.25">
      <c r="B777" s="4"/>
    </row>
    <row r="778" spans="2:2" ht="15.75" customHeight="1" x14ac:dyDescent="0.25">
      <c r="B778" s="4"/>
    </row>
    <row r="779" spans="2:2" ht="15.75" customHeight="1" x14ac:dyDescent="0.25">
      <c r="B779" s="4"/>
    </row>
    <row r="780" spans="2:2" ht="15.75" customHeight="1" x14ac:dyDescent="0.25">
      <c r="B780" s="4"/>
    </row>
    <row r="781" spans="2:2" ht="15.75" customHeight="1" x14ac:dyDescent="0.25">
      <c r="B781" s="4"/>
    </row>
    <row r="782" spans="2:2" ht="15.75" customHeight="1" x14ac:dyDescent="0.25">
      <c r="B782" s="4"/>
    </row>
    <row r="783" spans="2:2" ht="15.75" customHeight="1" x14ac:dyDescent="0.25">
      <c r="B783" s="4"/>
    </row>
    <row r="784" spans="2:2" ht="15.75" customHeight="1" x14ac:dyDescent="0.25">
      <c r="B784" s="4"/>
    </row>
    <row r="785" spans="2:2" ht="15.75" customHeight="1" x14ac:dyDescent="0.25">
      <c r="B785" s="4"/>
    </row>
    <row r="786" spans="2:2" ht="15.75" customHeight="1" x14ac:dyDescent="0.25">
      <c r="B786" s="4"/>
    </row>
    <row r="787" spans="2:2" ht="15.75" customHeight="1" x14ac:dyDescent="0.25">
      <c r="B787" s="4"/>
    </row>
    <row r="788" spans="2:2" ht="15.75" customHeight="1" x14ac:dyDescent="0.25">
      <c r="B788" s="4"/>
    </row>
    <row r="789" spans="2:2" ht="15.75" customHeight="1" x14ac:dyDescent="0.25">
      <c r="B789" s="4"/>
    </row>
    <row r="790" spans="2:2" ht="15.75" customHeight="1" x14ac:dyDescent="0.25">
      <c r="B790" s="4"/>
    </row>
    <row r="791" spans="2:2" ht="15.75" customHeight="1" x14ac:dyDescent="0.25">
      <c r="B791" s="4"/>
    </row>
    <row r="792" spans="2:2" ht="15.75" customHeight="1" x14ac:dyDescent="0.25">
      <c r="B792" s="4"/>
    </row>
    <row r="793" spans="2:2" ht="15.75" customHeight="1" x14ac:dyDescent="0.25">
      <c r="B793" s="4"/>
    </row>
    <row r="794" spans="2:2" ht="15.75" customHeight="1" x14ac:dyDescent="0.25">
      <c r="B794" s="4"/>
    </row>
    <row r="795" spans="2:2" ht="15.75" customHeight="1" x14ac:dyDescent="0.25">
      <c r="B795" s="4"/>
    </row>
    <row r="796" spans="2:2" ht="15.75" customHeight="1" x14ac:dyDescent="0.25">
      <c r="B796" s="4"/>
    </row>
    <row r="797" spans="2:2" ht="15.75" customHeight="1" x14ac:dyDescent="0.25">
      <c r="B797" s="4"/>
    </row>
    <row r="798" spans="2:2" ht="15.75" customHeight="1" x14ac:dyDescent="0.25">
      <c r="B798" s="4"/>
    </row>
    <row r="799" spans="2:2" ht="15.75" customHeight="1" x14ac:dyDescent="0.25">
      <c r="B799" s="4"/>
    </row>
    <row r="800" spans="2:2" ht="15.75" customHeight="1" x14ac:dyDescent="0.25">
      <c r="B800" s="4"/>
    </row>
    <row r="801" spans="2:2" ht="15.75" customHeight="1" x14ac:dyDescent="0.25">
      <c r="B801" s="4"/>
    </row>
    <row r="802" spans="2:2" ht="15.75" customHeight="1" x14ac:dyDescent="0.25">
      <c r="B802" s="4"/>
    </row>
    <row r="803" spans="2:2" ht="15.75" customHeight="1" x14ac:dyDescent="0.25">
      <c r="B803" s="4"/>
    </row>
    <row r="804" spans="2:2" ht="15.75" customHeight="1" x14ac:dyDescent="0.25">
      <c r="B804" s="4"/>
    </row>
    <row r="805" spans="2:2" ht="15.75" customHeight="1" x14ac:dyDescent="0.25">
      <c r="B805" s="4"/>
    </row>
    <row r="806" spans="2:2" ht="15.75" customHeight="1" x14ac:dyDescent="0.25">
      <c r="B806" s="4"/>
    </row>
    <row r="807" spans="2:2" ht="15.75" customHeight="1" x14ac:dyDescent="0.25">
      <c r="B807" s="4"/>
    </row>
    <row r="808" spans="2:2" ht="15.75" customHeight="1" x14ac:dyDescent="0.25">
      <c r="B808" s="4"/>
    </row>
    <row r="809" spans="2:2" ht="15.75" customHeight="1" x14ac:dyDescent="0.25">
      <c r="B809" s="4"/>
    </row>
    <row r="810" spans="2:2" ht="15.75" customHeight="1" x14ac:dyDescent="0.25">
      <c r="B810" s="4"/>
    </row>
    <row r="811" spans="2:2" ht="15.75" customHeight="1" x14ac:dyDescent="0.25">
      <c r="B811" s="4"/>
    </row>
    <row r="812" spans="2:2" ht="15.75" customHeight="1" x14ac:dyDescent="0.25">
      <c r="B812" s="4"/>
    </row>
    <row r="813" spans="2:2" ht="15.75" customHeight="1" x14ac:dyDescent="0.25">
      <c r="B813" s="4"/>
    </row>
    <row r="814" spans="2:2" ht="15.75" customHeight="1" x14ac:dyDescent="0.25">
      <c r="B814" s="4"/>
    </row>
    <row r="815" spans="2:2" ht="15.75" customHeight="1" x14ac:dyDescent="0.25">
      <c r="B815" s="4"/>
    </row>
    <row r="816" spans="2:2" ht="15.75" customHeight="1" x14ac:dyDescent="0.25">
      <c r="B816" s="4"/>
    </row>
    <row r="817" spans="2:2" ht="15.75" customHeight="1" x14ac:dyDescent="0.25">
      <c r="B817" s="4"/>
    </row>
    <row r="818" spans="2:2" ht="15.75" customHeight="1" x14ac:dyDescent="0.25">
      <c r="B818" s="4"/>
    </row>
    <row r="819" spans="2:2" ht="15.75" customHeight="1" x14ac:dyDescent="0.25">
      <c r="B819" s="4"/>
    </row>
    <row r="820" spans="2:2" ht="15.75" customHeight="1" x14ac:dyDescent="0.25">
      <c r="B820" s="4"/>
    </row>
    <row r="821" spans="2:2" ht="15.75" customHeight="1" x14ac:dyDescent="0.25">
      <c r="B821" s="4"/>
    </row>
    <row r="822" spans="2:2" ht="15.75" customHeight="1" x14ac:dyDescent="0.25">
      <c r="B822" s="4"/>
    </row>
    <row r="823" spans="2:2" ht="15.75" customHeight="1" x14ac:dyDescent="0.25">
      <c r="B823" s="4"/>
    </row>
    <row r="824" spans="2:2" ht="15.75" customHeight="1" x14ac:dyDescent="0.25">
      <c r="B824" s="4"/>
    </row>
    <row r="825" spans="2:2" ht="15.75" customHeight="1" x14ac:dyDescent="0.25">
      <c r="B825" s="4"/>
    </row>
    <row r="826" spans="2:2" ht="15.75" customHeight="1" x14ac:dyDescent="0.25">
      <c r="B826" s="4"/>
    </row>
    <row r="827" spans="2:2" ht="15.75" customHeight="1" x14ac:dyDescent="0.25">
      <c r="B827" s="4"/>
    </row>
    <row r="828" spans="2:2" ht="15.75" customHeight="1" x14ac:dyDescent="0.25">
      <c r="B828" s="4"/>
    </row>
    <row r="829" spans="2:2" ht="15.75" customHeight="1" x14ac:dyDescent="0.25">
      <c r="B829" s="4"/>
    </row>
    <row r="830" spans="2:2" ht="15.75" customHeight="1" x14ac:dyDescent="0.25">
      <c r="B830" s="4"/>
    </row>
    <row r="831" spans="2:2" ht="15.75" customHeight="1" x14ac:dyDescent="0.25">
      <c r="B831" s="4"/>
    </row>
    <row r="832" spans="2:2" ht="15.75" customHeight="1" x14ac:dyDescent="0.25">
      <c r="B832" s="4"/>
    </row>
    <row r="833" spans="2:2" ht="15.75" customHeight="1" x14ac:dyDescent="0.25">
      <c r="B833" s="4"/>
    </row>
    <row r="834" spans="2:2" ht="15.75" customHeight="1" x14ac:dyDescent="0.25">
      <c r="B834" s="4"/>
    </row>
    <row r="835" spans="2:2" ht="15.75" customHeight="1" x14ac:dyDescent="0.25">
      <c r="B835" s="4"/>
    </row>
    <row r="836" spans="2:2" ht="15.75" customHeight="1" x14ac:dyDescent="0.25">
      <c r="B836" s="4"/>
    </row>
    <row r="837" spans="2:2" ht="15.75" customHeight="1" x14ac:dyDescent="0.25">
      <c r="B837" s="4"/>
    </row>
    <row r="838" spans="2:2" ht="15.75" customHeight="1" x14ac:dyDescent="0.25">
      <c r="B838" s="4"/>
    </row>
    <row r="839" spans="2:2" ht="15.75" customHeight="1" x14ac:dyDescent="0.25">
      <c r="B839" s="4"/>
    </row>
    <row r="840" spans="2:2" ht="15.75" customHeight="1" x14ac:dyDescent="0.25">
      <c r="B840" s="4"/>
    </row>
    <row r="841" spans="2:2" ht="15.75" customHeight="1" x14ac:dyDescent="0.25">
      <c r="B841" s="4"/>
    </row>
    <row r="842" spans="2:2" ht="15.75" customHeight="1" x14ac:dyDescent="0.25">
      <c r="B842" s="4"/>
    </row>
    <row r="843" spans="2:2" ht="15.75" customHeight="1" x14ac:dyDescent="0.25">
      <c r="B843" s="4"/>
    </row>
    <row r="844" spans="2:2" ht="15.75" customHeight="1" x14ac:dyDescent="0.25">
      <c r="B844" s="4"/>
    </row>
    <row r="845" spans="2:2" ht="15.75" customHeight="1" x14ac:dyDescent="0.25">
      <c r="B845" s="4"/>
    </row>
    <row r="846" spans="2:2" ht="15.75" customHeight="1" x14ac:dyDescent="0.25">
      <c r="B846" s="4"/>
    </row>
    <row r="847" spans="2:2" ht="15.75" customHeight="1" x14ac:dyDescent="0.25">
      <c r="B847" s="4"/>
    </row>
    <row r="848" spans="2:2" ht="15.75" customHeight="1" x14ac:dyDescent="0.25">
      <c r="B848" s="4"/>
    </row>
    <row r="849" spans="2:2" ht="15.75" customHeight="1" x14ac:dyDescent="0.25">
      <c r="B849" s="4"/>
    </row>
    <row r="850" spans="2:2" ht="15.75" customHeight="1" x14ac:dyDescent="0.25">
      <c r="B850" s="4"/>
    </row>
    <row r="851" spans="2:2" ht="15.75" customHeight="1" x14ac:dyDescent="0.25">
      <c r="B851" s="4"/>
    </row>
    <row r="852" spans="2:2" ht="15.75" customHeight="1" x14ac:dyDescent="0.25">
      <c r="B852" s="4"/>
    </row>
    <row r="853" spans="2:2" ht="15.75" customHeight="1" x14ac:dyDescent="0.25">
      <c r="B853" s="4"/>
    </row>
    <row r="854" spans="2:2" ht="15.75" customHeight="1" x14ac:dyDescent="0.25">
      <c r="B854" s="4"/>
    </row>
    <row r="855" spans="2:2" ht="15.75" customHeight="1" x14ac:dyDescent="0.25">
      <c r="B855" s="4"/>
    </row>
    <row r="856" spans="2:2" ht="15.75" customHeight="1" x14ac:dyDescent="0.25">
      <c r="B856" s="4"/>
    </row>
    <row r="857" spans="2:2" ht="15.75" customHeight="1" x14ac:dyDescent="0.25">
      <c r="B857" s="4"/>
    </row>
    <row r="858" spans="2:2" ht="15.75" customHeight="1" x14ac:dyDescent="0.25">
      <c r="B858" s="4"/>
    </row>
    <row r="859" spans="2:2" ht="15.75" customHeight="1" x14ac:dyDescent="0.25">
      <c r="B859" s="4"/>
    </row>
    <row r="860" spans="2:2" ht="15.75" customHeight="1" x14ac:dyDescent="0.25">
      <c r="B860" s="4"/>
    </row>
    <row r="861" spans="2:2" ht="15.75" customHeight="1" x14ac:dyDescent="0.25">
      <c r="B861" s="4"/>
    </row>
    <row r="862" spans="2:2" ht="15.75" customHeight="1" x14ac:dyDescent="0.25">
      <c r="B862" s="4"/>
    </row>
    <row r="863" spans="2:2" ht="15.75" customHeight="1" x14ac:dyDescent="0.25">
      <c r="B863" s="4"/>
    </row>
    <row r="864" spans="2:2" ht="15.75" customHeight="1" x14ac:dyDescent="0.25">
      <c r="B864" s="4"/>
    </row>
    <row r="865" spans="2:2" ht="15.75" customHeight="1" x14ac:dyDescent="0.25">
      <c r="B865" s="4"/>
    </row>
    <row r="866" spans="2:2" ht="15.75" customHeight="1" x14ac:dyDescent="0.25">
      <c r="B866" s="4"/>
    </row>
    <row r="867" spans="2:2" ht="15.75" customHeight="1" x14ac:dyDescent="0.25">
      <c r="B867" s="4"/>
    </row>
    <row r="868" spans="2:2" ht="15.75" customHeight="1" x14ac:dyDescent="0.25">
      <c r="B868" s="4"/>
    </row>
    <row r="869" spans="2:2" ht="15.75" customHeight="1" x14ac:dyDescent="0.25">
      <c r="B869" s="4"/>
    </row>
    <row r="870" spans="2:2" ht="15.75" customHeight="1" x14ac:dyDescent="0.25">
      <c r="B870" s="4"/>
    </row>
    <row r="871" spans="2:2" ht="15.75" customHeight="1" x14ac:dyDescent="0.25">
      <c r="B871" s="4"/>
    </row>
    <row r="872" spans="2:2" ht="15.75" customHeight="1" x14ac:dyDescent="0.25">
      <c r="B872" s="4"/>
    </row>
    <row r="873" spans="2:2" ht="15.75" customHeight="1" x14ac:dyDescent="0.25">
      <c r="B873" s="4"/>
    </row>
    <row r="874" spans="2:2" ht="15.75" customHeight="1" x14ac:dyDescent="0.25">
      <c r="B874" s="4"/>
    </row>
    <row r="875" spans="2:2" ht="15.75" customHeight="1" x14ac:dyDescent="0.25">
      <c r="B875" s="4"/>
    </row>
    <row r="876" spans="2:2" ht="15.75" customHeight="1" x14ac:dyDescent="0.25">
      <c r="B876" s="4"/>
    </row>
    <row r="877" spans="2:2" ht="15.75" customHeight="1" x14ac:dyDescent="0.25">
      <c r="B877" s="4"/>
    </row>
    <row r="878" spans="2:2" ht="15.75" customHeight="1" x14ac:dyDescent="0.25">
      <c r="B878" s="4"/>
    </row>
    <row r="879" spans="2:2" ht="15.75" customHeight="1" x14ac:dyDescent="0.25">
      <c r="B879" s="4"/>
    </row>
    <row r="880" spans="2:2" ht="15.75" customHeight="1" x14ac:dyDescent="0.25">
      <c r="B880" s="4"/>
    </row>
    <row r="881" spans="2:2" ht="15.75" customHeight="1" x14ac:dyDescent="0.25">
      <c r="B881" s="4"/>
    </row>
    <row r="882" spans="2:2" ht="15.75" customHeight="1" x14ac:dyDescent="0.25">
      <c r="B882" s="4"/>
    </row>
    <row r="883" spans="2:2" ht="15.75" customHeight="1" x14ac:dyDescent="0.25">
      <c r="B883" s="4"/>
    </row>
    <row r="884" spans="2:2" ht="15.75" customHeight="1" x14ac:dyDescent="0.25">
      <c r="B884" s="4"/>
    </row>
    <row r="885" spans="2:2" ht="15.75" customHeight="1" x14ac:dyDescent="0.25">
      <c r="B885" s="4"/>
    </row>
    <row r="886" spans="2:2" ht="15.75" customHeight="1" x14ac:dyDescent="0.25">
      <c r="B886" s="4"/>
    </row>
    <row r="887" spans="2:2" ht="15.75" customHeight="1" x14ac:dyDescent="0.25">
      <c r="B887" s="4"/>
    </row>
    <row r="888" spans="2:2" ht="15.75" customHeight="1" x14ac:dyDescent="0.25">
      <c r="B888" s="4"/>
    </row>
    <row r="889" spans="2:2" ht="15.75" customHeight="1" x14ac:dyDescent="0.25">
      <c r="B889" s="4"/>
    </row>
    <row r="890" spans="2:2" ht="15.75" customHeight="1" x14ac:dyDescent="0.25">
      <c r="B890" s="4"/>
    </row>
    <row r="891" spans="2:2" ht="15.75" customHeight="1" x14ac:dyDescent="0.25">
      <c r="B891" s="4"/>
    </row>
    <row r="892" spans="2:2" ht="15.75" customHeight="1" x14ac:dyDescent="0.25">
      <c r="B892" s="4"/>
    </row>
    <row r="893" spans="2:2" ht="15.75" customHeight="1" x14ac:dyDescent="0.25">
      <c r="B893" s="4"/>
    </row>
    <row r="894" spans="2:2" ht="15.75" customHeight="1" x14ac:dyDescent="0.25">
      <c r="B894" s="4"/>
    </row>
    <row r="895" spans="2:2" ht="15.75" customHeight="1" x14ac:dyDescent="0.25">
      <c r="B895" s="4"/>
    </row>
    <row r="896" spans="2:2" ht="15.75" customHeight="1" x14ac:dyDescent="0.25">
      <c r="B896" s="4"/>
    </row>
    <row r="897" spans="2:2" ht="15.75" customHeight="1" x14ac:dyDescent="0.25">
      <c r="B897" s="4"/>
    </row>
    <row r="898" spans="2:2" ht="15.75" customHeight="1" x14ac:dyDescent="0.25">
      <c r="B898" s="4"/>
    </row>
    <row r="899" spans="2:2" ht="15.75" customHeight="1" x14ac:dyDescent="0.25">
      <c r="B899" s="4"/>
    </row>
    <row r="900" spans="2:2" ht="15.75" customHeight="1" x14ac:dyDescent="0.25">
      <c r="B900" s="4"/>
    </row>
    <row r="901" spans="2:2" ht="15.75" customHeight="1" x14ac:dyDescent="0.25">
      <c r="B901" s="4"/>
    </row>
    <row r="902" spans="2:2" ht="15.75" customHeight="1" x14ac:dyDescent="0.25">
      <c r="B902" s="4"/>
    </row>
    <row r="903" spans="2:2" ht="15.75" customHeight="1" x14ac:dyDescent="0.25">
      <c r="B903" s="4"/>
    </row>
    <row r="904" spans="2:2" ht="15.75" customHeight="1" x14ac:dyDescent="0.25">
      <c r="B904" s="4"/>
    </row>
    <row r="905" spans="2:2" ht="15.75" customHeight="1" x14ac:dyDescent="0.25">
      <c r="B905" s="4"/>
    </row>
    <row r="906" spans="2:2" ht="15.75" customHeight="1" x14ac:dyDescent="0.25">
      <c r="B906" s="4"/>
    </row>
    <row r="907" spans="2:2" ht="15.75" customHeight="1" x14ac:dyDescent="0.25">
      <c r="B907" s="4"/>
    </row>
    <row r="908" spans="2:2" ht="15.75" customHeight="1" x14ac:dyDescent="0.25">
      <c r="B908" s="4"/>
    </row>
    <row r="909" spans="2:2" ht="15.75" customHeight="1" x14ac:dyDescent="0.25">
      <c r="B909" s="4"/>
    </row>
    <row r="910" spans="2:2" ht="15.75" customHeight="1" x14ac:dyDescent="0.25">
      <c r="B910" s="4"/>
    </row>
    <row r="911" spans="2:2" ht="15.75" customHeight="1" x14ac:dyDescent="0.25">
      <c r="B911" s="4"/>
    </row>
    <row r="912" spans="2:2" ht="15.75" customHeight="1" x14ac:dyDescent="0.25">
      <c r="B912" s="4"/>
    </row>
    <row r="913" spans="2:2" ht="15.75" customHeight="1" x14ac:dyDescent="0.25">
      <c r="B913" s="4"/>
    </row>
    <row r="914" spans="2:2" ht="15.75" customHeight="1" x14ac:dyDescent="0.25">
      <c r="B914" s="4"/>
    </row>
    <row r="915" spans="2:2" ht="15.75" customHeight="1" x14ac:dyDescent="0.25">
      <c r="B915" s="4"/>
    </row>
    <row r="916" spans="2:2" ht="15.75" customHeight="1" x14ac:dyDescent="0.25">
      <c r="B916" s="4"/>
    </row>
    <row r="917" spans="2:2" ht="15.75" customHeight="1" x14ac:dyDescent="0.25">
      <c r="B917" s="4"/>
    </row>
    <row r="918" spans="2:2" ht="15.75" customHeight="1" x14ac:dyDescent="0.25">
      <c r="B918" s="4"/>
    </row>
    <row r="919" spans="2:2" ht="15.75" customHeight="1" x14ac:dyDescent="0.25">
      <c r="B919" s="4"/>
    </row>
    <row r="920" spans="2:2" ht="15.75" customHeight="1" x14ac:dyDescent="0.25">
      <c r="B920" s="4"/>
    </row>
    <row r="921" spans="2:2" ht="15.75" customHeight="1" x14ac:dyDescent="0.25">
      <c r="B921" s="4"/>
    </row>
    <row r="922" spans="2:2" ht="15.75" customHeight="1" x14ac:dyDescent="0.25">
      <c r="B922" s="4"/>
    </row>
    <row r="923" spans="2:2" ht="15.75" customHeight="1" x14ac:dyDescent="0.25">
      <c r="B923" s="4"/>
    </row>
    <row r="924" spans="2:2" ht="15.75" customHeight="1" x14ac:dyDescent="0.25">
      <c r="B924" s="4"/>
    </row>
    <row r="925" spans="2:2" ht="15.75" customHeight="1" x14ac:dyDescent="0.25">
      <c r="B925" s="4"/>
    </row>
    <row r="926" spans="2:2" ht="15.75" customHeight="1" x14ac:dyDescent="0.25">
      <c r="B926" s="4"/>
    </row>
    <row r="927" spans="2:2" ht="15.75" customHeight="1" x14ac:dyDescent="0.25">
      <c r="B927" s="4"/>
    </row>
    <row r="928" spans="2:2" ht="15.75" customHeight="1" x14ac:dyDescent="0.25">
      <c r="B928" s="4"/>
    </row>
    <row r="929" spans="2:2" ht="15.75" customHeight="1" x14ac:dyDescent="0.25">
      <c r="B929" s="4"/>
    </row>
    <row r="930" spans="2:2" ht="15.75" customHeight="1" x14ac:dyDescent="0.25">
      <c r="B930" s="4"/>
    </row>
    <row r="931" spans="2:2" ht="15.75" customHeight="1" x14ac:dyDescent="0.25">
      <c r="B931" s="4"/>
    </row>
    <row r="932" spans="2:2" ht="15.75" customHeight="1" x14ac:dyDescent="0.25">
      <c r="B932" s="4"/>
    </row>
    <row r="933" spans="2:2" ht="15.75" customHeight="1" x14ac:dyDescent="0.25">
      <c r="B933" s="4"/>
    </row>
    <row r="934" spans="2:2" ht="15.75" customHeight="1" x14ac:dyDescent="0.25">
      <c r="B934" s="4"/>
    </row>
    <row r="935" spans="2:2" ht="15.75" customHeight="1" x14ac:dyDescent="0.25">
      <c r="B935" s="4"/>
    </row>
    <row r="936" spans="2:2" ht="15.75" customHeight="1" x14ac:dyDescent="0.25">
      <c r="B936" s="4"/>
    </row>
    <row r="937" spans="2:2" ht="15.75" customHeight="1" x14ac:dyDescent="0.25">
      <c r="B937" s="4"/>
    </row>
    <row r="938" spans="2:2" ht="15.75" customHeight="1" x14ac:dyDescent="0.25">
      <c r="B938" s="4"/>
    </row>
    <row r="939" spans="2:2" ht="15.75" customHeight="1" x14ac:dyDescent="0.25">
      <c r="B939" s="4"/>
    </row>
    <row r="940" spans="2:2" ht="15.75" customHeight="1" x14ac:dyDescent="0.25">
      <c r="B940" s="4"/>
    </row>
    <row r="941" spans="2:2" ht="15.75" customHeight="1" x14ac:dyDescent="0.25">
      <c r="B941" s="4"/>
    </row>
    <row r="942" spans="2:2" ht="15.75" customHeight="1" x14ac:dyDescent="0.25">
      <c r="B942" s="4"/>
    </row>
    <row r="943" spans="2:2" ht="15.75" customHeight="1" x14ac:dyDescent="0.25">
      <c r="B943" s="4"/>
    </row>
    <row r="944" spans="2:2" ht="15.75" customHeight="1" x14ac:dyDescent="0.25">
      <c r="B944" s="4"/>
    </row>
    <row r="945" spans="2:2" ht="15.75" customHeight="1" x14ac:dyDescent="0.25">
      <c r="B945" s="4"/>
    </row>
    <row r="946" spans="2:2" ht="15.75" customHeight="1" x14ac:dyDescent="0.25">
      <c r="B946" s="4"/>
    </row>
    <row r="947" spans="2:2" ht="15.75" customHeight="1" x14ac:dyDescent="0.25">
      <c r="B947" s="4"/>
    </row>
    <row r="948" spans="2:2" ht="15.75" customHeight="1" x14ac:dyDescent="0.25">
      <c r="B948" s="4"/>
    </row>
    <row r="949" spans="2:2" ht="15.75" customHeight="1" x14ac:dyDescent="0.25">
      <c r="B949" s="4"/>
    </row>
    <row r="950" spans="2:2" ht="15.75" customHeight="1" x14ac:dyDescent="0.25">
      <c r="B950" s="4"/>
    </row>
    <row r="951" spans="2:2" ht="15.75" customHeight="1" x14ac:dyDescent="0.25">
      <c r="B951" s="4"/>
    </row>
    <row r="952" spans="2:2" ht="15.75" customHeight="1" x14ac:dyDescent="0.25">
      <c r="B952" s="4"/>
    </row>
    <row r="953" spans="2:2" ht="15.75" customHeight="1" x14ac:dyDescent="0.25">
      <c r="B953" s="4"/>
    </row>
    <row r="954" spans="2:2" ht="15.75" customHeight="1" x14ac:dyDescent="0.25">
      <c r="B954" s="4"/>
    </row>
    <row r="955" spans="2:2" ht="15.75" customHeight="1" x14ac:dyDescent="0.25">
      <c r="B955" s="4"/>
    </row>
    <row r="956" spans="2:2" ht="15.75" customHeight="1" x14ac:dyDescent="0.25">
      <c r="B956" s="4"/>
    </row>
    <row r="957" spans="2:2" ht="15.75" customHeight="1" x14ac:dyDescent="0.25">
      <c r="B957" s="4"/>
    </row>
    <row r="958" spans="2:2" ht="15.75" customHeight="1" x14ac:dyDescent="0.25">
      <c r="B958" s="4"/>
    </row>
    <row r="959" spans="2:2" ht="15.75" customHeight="1" x14ac:dyDescent="0.25">
      <c r="B959" s="4"/>
    </row>
    <row r="960" spans="2:2" ht="15.75" customHeight="1" x14ac:dyDescent="0.25">
      <c r="B960" s="4"/>
    </row>
    <row r="961" spans="2:2" ht="15.75" customHeight="1" x14ac:dyDescent="0.25">
      <c r="B961" s="4"/>
    </row>
    <row r="962" spans="2:2" ht="15.75" customHeight="1" x14ac:dyDescent="0.25">
      <c r="B962" s="4"/>
    </row>
    <row r="963" spans="2:2" ht="15.75" customHeight="1" x14ac:dyDescent="0.25">
      <c r="B963" s="4"/>
    </row>
    <row r="964" spans="2:2" ht="15.75" customHeight="1" x14ac:dyDescent="0.25">
      <c r="B964" s="4"/>
    </row>
    <row r="965" spans="2:2" ht="15.75" customHeight="1" x14ac:dyDescent="0.25">
      <c r="B965" s="4"/>
    </row>
    <row r="966" spans="2:2" ht="15.75" customHeight="1" x14ac:dyDescent="0.25">
      <c r="B966" s="4"/>
    </row>
    <row r="967" spans="2:2" ht="15.75" customHeight="1" x14ac:dyDescent="0.25">
      <c r="B967" s="4"/>
    </row>
    <row r="968" spans="2:2" ht="15.75" customHeight="1" x14ac:dyDescent="0.25">
      <c r="B968" s="4"/>
    </row>
    <row r="969" spans="2:2" ht="15.75" customHeight="1" x14ac:dyDescent="0.25">
      <c r="B969" s="4"/>
    </row>
    <row r="970" spans="2:2" ht="15.75" customHeight="1" x14ac:dyDescent="0.25">
      <c r="B970" s="4"/>
    </row>
    <row r="971" spans="2:2" ht="15.75" customHeight="1" x14ac:dyDescent="0.25">
      <c r="B971" s="4"/>
    </row>
    <row r="972" spans="2:2" ht="15.75" customHeight="1" x14ac:dyDescent="0.25">
      <c r="B972" s="4"/>
    </row>
    <row r="973" spans="2:2" ht="15.75" customHeight="1" x14ac:dyDescent="0.25">
      <c r="B973" s="4"/>
    </row>
    <row r="974" spans="2:2" ht="15.75" customHeight="1" x14ac:dyDescent="0.25">
      <c r="B974" s="4"/>
    </row>
    <row r="975" spans="2:2" ht="15.75" customHeight="1" x14ac:dyDescent="0.25">
      <c r="B975" s="4"/>
    </row>
    <row r="976" spans="2:2" ht="15.75" customHeight="1" x14ac:dyDescent="0.25">
      <c r="B976" s="4"/>
    </row>
    <row r="977" spans="2:2" ht="15.75" customHeight="1" x14ac:dyDescent="0.25">
      <c r="B977" s="4"/>
    </row>
    <row r="978" spans="2:2" ht="15.75" customHeight="1" x14ac:dyDescent="0.25">
      <c r="B978" s="4"/>
    </row>
    <row r="979" spans="2:2" ht="15.75" customHeight="1" x14ac:dyDescent="0.25">
      <c r="B979" s="4"/>
    </row>
    <row r="980" spans="2:2" ht="15.75" customHeight="1" x14ac:dyDescent="0.25">
      <c r="B980" s="4"/>
    </row>
    <row r="981" spans="2:2" ht="15.75" customHeight="1" x14ac:dyDescent="0.25">
      <c r="B981" s="4"/>
    </row>
    <row r="982" spans="2:2" ht="15.75" customHeight="1" x14ac:dyDescent="0.25">
      <c r="B982" s="4"/>
    </row>
    <row r="983" spans="2:2" ht="15.75" customHeight="1" x14ac:dyDescent="0.25">
      <c r="B983" s="4"/>
    </row>
    <row r="984" spans="2:2" ht="15.75" customHeight="1" x14ac:dyDescent="0.25">
      <c r="B984" s="4"/>
    </row>
    <row r="985" spans="2:2" ht="15.75" customHeight="1" x14ac:dyDescent="0.25">
      <c r="B985" s="4"/>
    </row>
    <row r="986" spans="2:2" ht="15.75" customHeight="1" x14ac:dyDescent="0.25">
      <c r="B986" s="4"/>
    </row>
    <row r="987" spans="2:2" ht="15.75" customHeight="1" x14ac:dyDescent="0.25">
      <c r="B987" s="4"/>
    </row>
    <row r="988" spans="2:2" ht="15.75" customHeight="1" x14ac:dyDescent="0.25">
      <c r="B988" s="4"/>
    </row>
    <row r="989" spans="2:2" ht="15.75" customHeight="1" x14ac:dyDescent="0.25">
      <c r="B989" s="4"/>
    </row>
    <row r="990" spans="2:2" ht="15.75" customHeight="1" x14ac:dyDescent="0.25">
      <c r="B990" s="4"/>
    </row>
    <row r="991" spans="2:2" ht="15.75" customHeight="1" x14ac:dyDescent="0.25">
      <c r="B991" s="4"/>
    </row>
    <row r="992" spans="2:2" ht="15.75" customHeight="1" x14ac:dyDescent="0.25">
      <c r="B992" s="4"/>
    </row>
    <row r="993" spans="2:2" ht="15.75" customHeight="1" x14ac:dyDescent="0.25">
      <c r="B993" s="4"/>
    </row>
    <row r="994" spans="2:2" ht="15.75" customHeight="1" x14ac:dyDescent="0.25">
      <c r="B994" s="4"/>
    </row>
    <row r="995" spans="2:2" ht="15.75" customHeight="1" x14ac:dyDescent="0.25">
      <c r="B995" s="4"/>
    </row>
    <row r="996" spans="2:2" ht="15.75" customHeight="1" x14ac:dyDescent="0.25">
      <c r="B996" s="4"/>
    </row>
    <row r="997" spans="2:2" ht="15.75" customHeight="1" x14ac:dyDescent="0.25">
      <c r="B997" s="4"/>
    </row>
    <row r="998" spans="2:2" ht="15.75" customHeight="1" x14ac:dyDescent="0.25">
      <c r="B998" s="4"/>
    </row>
    <row r="999" spans="2:2" ht="15.75" customHeight="1" x14ac:dyDescent="0.25">
      <c r="B999" s="4"/>
    </row>
    <row r="1000" spans="2:2" ht="15.75" customHeight="1" x14ac:dyDescent="0.25">
      <c r="B1000" s="4"/>
    </row>
  </sheetData>
  <pageMargins left="0.7" right="0.7" top="0.75" bottom="0.75" header="0" footer="0"/>
  <pageSetup orientation="portrait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Operadores</vt:lpstr>
      <vt:lpstr>Materialidades</vt:lpstr>
      <vt:lpstr>Monedas</vt:lpstr>
      <vt:lpstr>Asientos</vt:lpstr>
      <vt:lpstr>Maestro conceptos</vt:lpstr>
      <vt:lpstr>Rutas</vt:lpstr>
      <vt:lpstr>Listas</vt:lpstr>
      <vt:lpstr>Template Archivos</vt:lpstr>
      <vt:lpstr>Excepciones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rmr_user</cp:lastModifiedBy>
  <dcterms:created xsi:type="dcterms:W3CDTF">2021-02-11T17:15:19Z</dcterms:created>
  <dcterms:modified xsi:type="dcterms:W3CDTF">2022-08-05T00:43:46Z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0x010100A5D665916276914C9E780F9E4D6EC4C9</vt:lpwstr>
  </property>
</Properties>
</file>